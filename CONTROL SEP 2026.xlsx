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4\Desktop\sistema\SIGCOP-DAEM\"/>
    </mc:Choice>
  </mc:AlternateContent>
  <xr:revisionPtr revIDLastSave="0" documentId="13_ncr:1_{9DB0E356-CCF9-4209-8662-A7AD2100E4B0}" xr6:coauthVersionLast="47" xr6:coauthVersionMax="47" xr10:uidLastSave="{00000000-0000-0000-0000-000000000000}"/>
  <bookViews>
    <workbookView xWindow="-120" yWindow="-120" windowWidth="29040" windowHeight="15720" tabRatio="876" xr2:uid="{00000000-000D-0000-FFFF-FFFF00000000}"/>
  </bookViews>
  <sheets>
    <sheet name="F-375" sheetId="1" r:id="rId1"/>
    <sheet name="G-389" sheetId="2" r:id="rId2"/>
    <sheet name="G-394" sheetId="3" r:id="rId3"/>
    <sheet name="E-403" sheetId="4" r:id="rId4"/>
    <sheet name="F-405" sheetId="5" r:id="rId5"/>
    <sheet name="F-407" sheetId="6" r:id="rId6"/>
    <sheet name="G-412" sheetId="7" r:id="rId7"/>
    <sheet name="F-413" sheetId="8" r:id="rId8"/>
    <sheet name="E-414" sheetId="9" r:id="rId9"/>
    <sheet name="G-416" sheetId="10" r:id="rId10"/>
    <sheet name="E-417" sheetId="11" r:id="rId11"/>
    <sheet name="G-418" sheetId="12" r:id="rId12"/>
    <sheet name="G-419" sheetId="13" r:id="rId13"/>
    <sheet name="E-424" sheetId="14" r:id="rId14"/>
    <sheet name="F-425" sheetId="15" r:id="rId15"/>
    <sheet name="F-426" sheetId="16" r:id="rId16"/>
    <sheet name="F-428" sheetId="17" r:id="rId17"/>
    <sheet name="G-429" sheetId="18" r:id="rId18"/>
    <sheet name="G-433" sheetId="19" r:id="rId19"/>
    <sheet name="G-446" sheetId="20" r:id="rId20"/>
    <sheet name="G-469" sheetId="21" r:id="rId21"/>
    <sheet name="LICEO" sheetId="22" r:id="rId22"/>
    <sheet name="AC" sheetId="25" r:id="rId23"/>
    <sheet name="SUBVENCION" sheetId="26" r:id="rId24"/>
    <sheet name="COSTO REMUNERACION " sheetId="29" r:id="rId25"/>
    <sheet name="PROPORCION GASTOS AC" sheetId="27" r:id="rId26"/>
    <sheet name="10% AC SEP" sheetId="28" r:id="rId27"/>
  </sheets>
  <externalReferences>
    <externalReference r:id="rId28"/>
  </externalReferences>
  <definedNames>
    <definedName name="_xlnm._FilterDatabase" localSheetId="22" hidden="1">AC!$A$9:$W$245</definedName>
    <definedName name="_xlnm._FilterDatabase" localSheetId="3" hidden="1">'E-403'!$A$8:$W$145</definedName>
    <definedName name="_xlnm._FilterDatabase" localSheetId="8" hidden="1">'E-414'!$B$8:$J$148</definedName>
    <definedName name="_xlnm._FilterDatabase" localSheetId="10" hidden="1">'E-417'!$B$8:$J$135</definedName>
    <definedName name="_xlnm._FilterDatabase" localSheetId="13" hidden="1">'E-424'!$A$8:$J$191</definedName>
    <definedName name="_xlnm._FilterDatabase" localSheetId="0" hidden="1">'F-375'!$A$8:$W$98</definedName>
    <definedName name="_xlnm._FilterDatabase" localSheetId="4" hidden="1">'F-405'!$A$8:$J$140</definedName>
    <definedName name="_xlnm._FilterDatabase" localSheetId="5" hidden="1">'F-407'!$A$8:$J$114</definedName>
    <definedName name="_xlnm._FilterDatabase" localSheetId="7" hidden="1">'F-413'!$A$8:$J$113</definedName>
    <definedName name="_xlnm._FilterDatabase" localSheetId="14" hidden="1">'F-425'!$B$8:$J$123</definedName>
    <definedName name="_xlnm._FilterDatabase" localSheetId="15" hidden="1">'F-426'!$A$8:$J$93</definedName>
    <definedName name="_xlnm._FilterDatabase" localSheetId="16" hidden="1">'F-428'!$A$8:$J$100</definedName>
    <definedName name="_xlnm._FilterDatabase" localSheetId="1" hidden="1">'G-389'!$A$8:$J$8</definedName>
    <definedName name="_xlnm._FilterDatabase" localSheetId="6" hidden="1">'G-412'!$A$8:$J$110</definedName>
    <definedName name="_xlnm._FilterDatabase" localSheetId="9" hidden="1">'G-416'!$A$8:$J$105</definedName>
    <definedName name="_xlnm._FilterDatabase" localSheetId="11" hidden="1">'G-418'!$A$8:$J$88</definedName>
    <definedName name="_xlnm._FilterDatabase" localSheetId="12" hidden="1">'G-419'!$A$6:$J$103</definedName>
    <definedName name="_xlnm._FilterDatabase" localSheetId="18" hidden="1">'G-433'!$B$8:$J$111</definedName>
    <definedName name="_xlnm._FilterDatabase" localSheetId="19" hidden="1">'G-446'!$A$8:$J$95</definedName>
    <definedName name="_xlnm._FilterDatabase" localSheetId="21" hidden="1">LICEO!$B$8:$J$88</definedName>
    <definedName name="_xlnm.Print_Area" localSheetId="3">'E-403'!$A$1:$J$147</definedName>
    <definedName name="_xlnm.Print_Area" localSheetId="8">'E-414'!$A$1:$J$178</definedName>
    <definedName name="_xlnm.Print_Area" localSheetId="13">'E-424'!$B$3:$J$192</definedName>
    <definedName name="_xlnm.Print_Area" localSheetId="15">'F-426'!$B$3:$J$93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4" l="1"/>
  <c r="M193" i="14" s="1"/>
  <c r="M36" i="14"/>
  <c r="M64" i="14"/>
  <c r="O191" i="14"/>
  <c r="L193" i="14"/>
  <c r="N193" i="14"/>
  <c r="O193" i="14"/>
  <c r="O29" i="13"/>
  <c r="L105" i="13"/>
  <c r="M105" i="13"/>
  <c r="N105" i="13"/>
  <c r="O105" i="13"/>
  <c r="O103" i="13"/>
  <c r="O46" i="12"/>
  <c r="O52" i="12"/>
  <c r="O58" i="12"/>
  <c r="L46" i="12"/>
  <c r="L91" i="12"/>
  <c r="N91" i="12"/>
  <c r="O91" i="12"/>
  <c r="O88" i="12"/>
  <c r="L138" i="11"/>
  <c r="M138" i="11"/>
  <c r="N138" i="11"/>
  <c r="O138" i="11"/>
  <c r="P138" i="11"/>
  <c r="O135" i="11"/>
  <c r="P177" i="9"/>
  <c r="M180" i="9"/>
  <c r="N180" i="9"/>
  <c r="O180" i="9"/>
  <c r="P180" i="9"/>
  <c r="P113" i="8"/>
  <c r="M115" i="8"/>
  <c r="N115" i="8"/>
  <c r="O115" i="8"/>
  <c r="P115" i="8"/>
  <c r="O113" i="8"/>
  <c r="O110" i="7"/>
  <c r="O114" i="6"/>
  <c r="N114" i="6"/>
  <c r="O90" i="6"/>
  <c r="O76" i="6"/>
  <c r="O68" i="6"/>
  <c r="N141" i="5"/>
  <c r="O100" i="5"/>
  <c r="O145" i="5" s="1"/>
  <c r="M145" i="5"/>
  <c r="N145" i="5"/>
  <c r="L145" i="5"/>
  <c r="O141" i="5"/>
  <c r="L100" i="1"/>
  <c r="M100" i="1"/>
  <c r="O100" i="1"/>
  <c r="N100" i="1"/>
  <c r="O95" i="2"/>
  <c r="P95" i="2" s="1"/>
  <c r="O55" i="2"/>
  <c r="O62" i="2"/>
  <c r="O81" i="2"/>
  <c r="L102" i="1"/>
  <c r="M102" i="1"/>
  <c r="N102" i="1"/>
  <c r="J67" i="1"/>
  <c r="J68" i="1" s="1"/>
  <c r="J66" i="1"/>
  <c r="J65" i="1"/>
  <c r="J61" i="1"/>
  <c r="J62" i="1" s="1"/>
  <c r="J63" i="1" s="1"/>
  <c r="J60" i="1"/>
  <c r="J59" i="1"/>
  <c r="J56" i="1"/>
  <c r="J57" i="1"/>
  <c r="J55" i="1"/>
  <c r="J54" i="1"/>
  <c r="J49" i="1"/>
  <c r="J50" i="1"/>
  <c r="J51" i="1" s="1"/>
  <c r="J52" i="1" s="1"/>
  <c r="J48" i="1"/>
  <c r="J47" i="1"/>
  <c r="J40" i="1"/>
  <c r="J41" i="1" s="1"/>
  <c r="J42" i="1" s="1"/>
  <c r="J43" i="1" s="1"/>
  <c r="J44" i="1" s="1"/>
  <c r="J45" i="1" s="1"/>
  <c r="J39" i="1"/>
  <c r="J38" i="1"/>
  <c r="J32" i="1"/>
  <c r="J33" i="1" s="1"/>
  <c r="J34" i="1" s="1"/>
  <c r="J35" i="1" s="1"/>
  <c r="J36" i="1" s="1"/>
  <c r="J31" i="1"/>
  <c r="J30" i="1"/>
  <c r="J21" i="1"/>
  <c r="J22" i="1"/>
  <c r="J23" i="1"/>
  <c r="J24" i="1"/>
  <c r="J25" i="1"/>
  <c r="J26" i="1"/>
  <c r="J27" i="1"/>
  <c r="J28" i="1"/>
  <c r="J20" i="1"/>
  <c r="J19" i="1"/>
  <c r="J17" i="1"/>
  <c r="J16" i="1"/>
  <c r="O39" i="1"/>
  <c r="J11" i="1"/>
  <c r="J12" i="1"/>
  <c r="J13" i="1"/>
  <c r="J14" i="1"/>
  <c r="O104" i="3"/>
  <c r="O97" i="3"/>
  <c r="O84" i="3"/>
  <c r="O75" i="3"/>
  <c r="O68" i="3"/>
  <c r="J71" i="3"/>
  <c r="J72" i="3" s="1"/>
  <c r="J146" i="25"/>
  <c r="J210" i="22"/>
  <c r="J211" i="22"/>
  <c r="J51" i="21"/>
  <c r="J52" i="21" s="1"/>
  <c r="Q64" i="20"/>
  <c r="P64" i="20"/>
  <c r="O64" i="20"/>
  <c r="N64" i="20"/>
  <c r="M64" i="20"/>
  <c r="Q55" i="20"/>
  <c r="P55" i="20"/>
  <c r="O55" i="20"/>
  <c r="N55" i="20"/>
  <c r="M55" i="20"/>
  <c r="J61" i="20"/>
  <c r="P68" i="19"/>
  <c r="O68" i="19"/>
  <c r="M68" i="19"/>
  <c r="L68" i="19"/>
  <c r="P57" i="19"/>
  <c r="O57" i="19"/>
  <c r="M57" i="19"/>
  <c r="L57" i="19"/>
  <c r="O46" i="18"/>
  <c r="J49" i="18"/>
  <c r="J50" i="18" s="1"/>
  <c r="P79" i="17"/>
  <c r="O79" i="17"/>
  <c r="N79" i="17"/>
  <c r="M79" i="17"/>
  <c r="L79" i="17"/>
  <c r="P72" i="17"/>
  <c r="O72" i="17"/>
  <c r="N72" i="17"/>
  <c r="M72" i="17"/>
  <c r="L72" i="17"/>
  <c r="J75" i="17"/>
  <c r="J76" i="17" s="1"/>
  <c r="O55" i="16"/>
  <c r="J63" i="16"/>
  <c r="J64" i="16"/>
  <c r="O75" i="10"/>
  <c r="J77" i="10"/>
  <c r="P65" i="8"/>
  <c r="J66" i="8"/>
  <c r="O69" i="7"/>
  <c r="J73" i="7"/>
  <c r="J73" i="6"/>
  <c r="J105" i="5"/>
  <c r="N75" i="10"/>
  <c r="J107" i="14"/>
  <c r="J108" i="14" s="1"/>
  <c r="J109" i="14" s="1"/>
  <c r="J110" i="14" s="1"/>
  <c r="J111" i="14" s="1"/>
  <c r="J64" i="19"/>
  <c r="O71" i="21"/>
  <c r="O63" i="21"/>
  <c r="O55" i="21"/>
  <c r="O47" i="21"/>
  <c r="H47" i="21"/>
  <c r="L47" i="21" s="1"/>
  <c r="O60" i="1"/>
  <c r="O66" i="1"/>
  <c r="O145" i="4"/>
  <c r="O136" i="4"/>
  <c r="O121" i="4"/>
  <c r="O103" i="4"/>
  <c r="H54" i="21"/>
  <c r="L55" i="21" s="1"/>
  <c r="H62" i="21"/>
  <c r="L63" i="21" s="1"/>
  <c r="H70" i="21"/>
  <c r="L71" i="21" s="1"/>
  <c r="M71" i="21" s="1"/>
  <c r="H63" i="20"/>
  <c r="H74" i="20"/>
  <c r="H88" i="20"/>
  <c r="H67" i="19"/>
  <c r="H77" i="19"/>
  <c r="H102" i="19"/>
  <c r="H71" i="18"/>
  <c r="H59" i="18"/>
  <c r="H52" i="18"/>
  <c r="H93" i="17"/>
  <c r="H86" i="17"/>
  <c r="H78" i="17"/>
  <c r="H66" i="16"/>
  <c r="H75" i="16"/>
  <c r="H82" i="16"/>
  <c r="H54" i="16"/>
  <c r="H78" i="15"/>
  <c r="H90" i="15"/>
  <c r="H113" i="15"/>
  <c r="H174" i="14"/>
  <c r="H142" i="14"/>
  <c r="H113" i="14"/>
  <c r="H93" i="13"/>
  <c r="H80" i="13"/>
  <c r="H66" i="13"/>
  <c r="H79" i="12"/>
  <c r="H72" i="12"/>
  <c r="H64" i="12"/>
  <c r="H129" i="11"/>
  <c r="H120" i="11"/>
  <c r="H109" i="11"/>
  <c r="H96" i="10"/>
  <c r="H87" i="10"/>
  <c r="H79" i="10"/>
  <c r="H162" i="9"/>
  <c r="H150" i="9"/>
  <c r="H134" i="9"/>
  <c r="H94" i="8"/>
  <c r="H76" i="8"/>
  <c r="H68" i="8"/>
  <c r="H102" i="7"/>
  <c r="H88" i="7"/>
  <c r="H75" i="7"/>
  <c r="H105" i="6"/>
  <c r="H89" i="6"/>
  <c r="H75" i="6"/>
  <c r="H135" i="5"/>
  <c r="H123" i="5"/>
  <c r="H107" i="5"/>
  <c r="H102" i="4"/>
  <c r="H120" i="4"/>
  <c r="H135" i="4"/>
  <c r="H96" i="3"/>
  <c r="H83" i="3"/>
  <c r="H74" i="3"/>
  <c r="H89" i="2"/>
  <c r="H80" i="2"/>
  <c r="H70" i="2"/>
  <c r="H93" i="1"/>
  <c r="H84" i="1"/>
  <c r="H71" i="1"/>
  <c r="H284" i="22"/>
  <c r="H266" i="22"/>
  <c r="H213" i="22"/>
  <c r="N14" i="29"/>
  <c r="M14" i="29"/>
  <c r="L14" i="29"/>
  <c r="N13" i="29"/>
  <c r="M13" i="29"/>
  <c r="L13" i="29"/>
  <c r="N12" i="29"/>
  <c r="M12" i="29"/>
  <c r="L12" i="29"/>
  <c r="N7" i="29"/>
  <c r="M7" i="29"/>
  <c r="L7" i="29"/>
  <c r="N6" i="29"/>
  <c r="M6" i="29"/>
  <c r="L6" i="29"/>
  <c r="N5" i="29"/>
  <c r="M5" i="29"/>
  <c r="L5" i="29"/>
  <c r="N11" i="29"/>
  <c r="M11" i="29"/>
  <c r="L11" i="29"/>
  <c r="N10" i="29"/>
  <c r="M10" i="29"/>
  <c r="L10" i="29"/>
  <c r="N9" i="29"/>
  <c r="M9" i="29"/>
  <c r="L9" i="29"/>
  <c r="N8" i="29"/>
  <c r="M8" i="29"/>
  <c r="L8" i="29"/>
  <c r="N15" i="29"/>
  <c r="M15" i="29"/>
  <c r="L15" i="29"/>
  <c r="N16" i="29"/>
  <c r="M16" i="29"/>
  <c r="L16" i="29"/>
  <c r="N4" i="29"/>
  <c r="M4" i="29"/>
  <c r="L4" i="29"/>
  <c r="N17" i="29"/>
  <c r="M17" i="29"/>
  <c r="L17" i="29"/>
  <c r="N18" i="29"/>
  <c r="M18" i="29"/>
  <c r="L18" i="29"/>
  <c r="N20" i="29"/>
  <c r="M20" i="29"/>
  <c r="L20" i="29"/>
  <c r="N23" i="29"/>
  <c r="M23" i="29"/>
  <c r="L23" i="29"/>
  <c r="N25" i="29"/>
  <c r="M25" i="29"/>
  <c r="L25" i="29"/>
  <c r="N3" i="29"/>
  <c r="M3" i="29"/>
  <c r="L3" i="29"/>
  <c r="K25" i="29"/>
  <c r="K23" i="29"/>
  <c r="K20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K6" i="29"/>
  <c r="K5" i="29"/>
  <c r="K4" i="29"/>
  <c r="J3" i="29"/>
  <c r="H65" i="1"/>
  <c r="H7" i="25"/>
  <c r="H54" i="20"/>
  <c r="H56" i="19"/>
  <c r="H45" i="18"/>
  <c r="H71" i="17"/>
  <c r="H66" i="15"/>
  <c r="H93" i="14"/>
  <c r="H58" i="13"/>
  <c r="H57" i="12"/>
  <c r="H96" i="11"/>
  <c r="H74" i="10"/>
  <c r="H120" i="9"/>
  <c r="H64" i="8"/>
  <c r="H68" i="7"/>
  <c r="H67" i="6"/>
  <c r="H98" i="5"/>
  <c r="H88" i="4"/>
  <c r="J88" i="4"/>
  <c r="H67" i="3"/>
  <c r="H61" i="2"/>
  <c r="H54" i="2"/>
  <c r="H180" i="22"/>
  <c r="P170" i="9"/>
  <c r="P135" i="9"/>
  <c r="P30" i="8"/>
  <c r="O59" i="6"/>
  <c r="O31" i="6"/>
  <c r="O20" i="6"/>
  <c r="O72" i="5"/>
  <c r="O60" i="5"/>
  <c r="O73" i="4"/>
  <c r="O20" i="4"/>
  <c r="O25" i="4"/>
  <c r="O39" i="4"/>
  <c r="O54" i="3"/>
  <c r="O68" i="11"/>
  <c r="O63" i="11"/>
  <c r="O54" i="11"/>
  <c r="J47" i="12"/>
  <c r="J48" i="12" s="1"/>
  <c r="J49" i="12" s="1"/>
  <c r="J45" i="12"/>
  <c r="J40" i="12"/>
  <c r="J41" i="12" s="1"/>
  <c r="J42" i="12" s="1"/>
  <c r="J43" i="12" s="1"/>
  <c r="J35" i="12"/>
  <c r="J36" i="12" s="1"/>
  <c r="J23" i="12"/>
  <c r="J24" i="12" s="1"/>
  <c r="J25" i="12" s="1"/>
  <c r="J26" i="12" s="1"/>
  <c r="J27" i="12" s="1"/>
  <c r="J28" i="12" s="1"/>
  <c r="J29" i="12" s="1"/>
  <c r="J30" i="12" s="1"/>
  <c r="J31" i="12" s="1"/>
  <c r="J17" i="12"/>
  <c r="J18" i="12" s="1"/>
  <c r="J19" i="12" s="1"/>
  <c r="I113" i="8"/>
  <c r="N140" i="22"/>
  <c r="O140" i="22"/>
  <c r="O43" i="21"/>
  <c r="O39" i="21"/>
  <c r="O49" i="20"/>
  <c r="O43" i="20"/>
  <c r="P43" i="20"/>
  <c r="P49" i="20"/>
  <c r="O48" i="19"/>
  <c r="O43" i="19"/>
  <c r="O42" i="18"/>
  <c r="O63" i="17"/>
  <c r="O53" i="17"/>
  <c r="O47" i="17"/>
  <c r="N63" i="17"/>
  <c r="N53" i="17"/>
  <c r="O64" i="14"/>
  <c r="O74" i="14"/>
  <c r="O82" i="14"/>
  <c r="O81" i="11"/>
  <c r="O71" i="10"/>
  <c r="O65" i="10"/>
  <c r="P97" i="9"/>
  <c r="P109" i="9"/>
  <c r="O88" i="5"/>
  <c r="O62" i="7"/>
  <c r="O81" i="4"/>
  <c r="O53" i="13"/>
  <c r="J25" i="29"/>
  <c r="J23" i="29"/>
  <c r="J20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110" i="9"/>
  <c r="J111" i="9"/>
  <c r="J5" i="29"/>
  <c r="J4" i="29"/>
  <c r="I3" i="29"/>
  <c r="I4" i="29"/>
  <c r="I5" i="29"/>
  <c r="I6" i="29"/>
  <c r="I7" i="29"/>
  <c r="I8" i="29"/>
  <c r="I10" i="29"/>
  <c r="I9" i="29"/>
  <c r="I11" i="29"/>
  <c r="I12" i="29"/>
  <c r="I13" i="29"/>
  <c r="I14" i="29"/>
  <c r="I15" i="29"/>
  <c r="I16" i="29"/>
  <c r="I17" i="29"/>
  <c r="I18" i="29"/>
  <c r="I20" i="29"/>
  <c r="I23" i="29"/>
  <c r="I25" i="29"/>
  <c r="J56" i="13"/>
  <c r="J106" i="9"/>
  <c r="J78" i="4"/>
  <c r="H59" i="1"/>
  <c r="I125" i="25"/>
  <c r="I124" i="25"/>
  <c r="I105" i="25"/>
  <c r="H41" i="21"/>
  <c r="L43" i="21" s="1"/>
  <c r="H48" i="20"/>
  <c r="M49" i="20" s="1"/>
  <c r="N49" i="20" s="1"/>
  <c r="H47" i="19"/>
  <c r="L48" i="19" s="1"/>
  <c r="H41" i="18"/>
  <c r="H62" i="17"/>
  <c r="L63" i="17" s="1"/>
  <c r="H47" i="16"/>
  <c r="H57" i="15"/>
  <c r="H52" i="13"/>
  <c r="H51" i="12"/>
  <c r="H69" i="10"/>
  <c r="H61" i="7"/>
  <c r="H59" i="8"/>
  <c r="H58" i="6"/>
  <c r="H83" i="5"/>
  <c r="H59" i="3"/>
  <c r="H81" i="14"/>
  <c r="H80" i="11"/>
  <c r="H108" i="9"/>
  <c r="H80" i="4"/>
  <c r="H138" i="22"/>
  <c r="O58" i="15"/>
  <c r="O50" i="15"/>
  <c r="O43" i="15"/>
  <c r="I35" i="2"/>
  <c r="I68" i="4"/>
  <c r="O62" i="4" s="1"/>
  <c r="I42" i="1"/>
  <c r="I39" i="8"/>
  <c r="P37" i="8" s="1"/>
  <c r="H111" i="22"/>
  <c r="H38" i="21"/>
  <c r="L39" i="21" s="1"/>
  <c r="H42" i="20"/>
  <c r="M43" i="20" s="1"/>
  <c r="N43" i="20" s="1"/>
  <c r="H42" i="19"/>
  <c r="L43" i="19" s="1"/>
  <c r="H33" i="18"/>
  <c r="H52" i="17"/>
  <c r="L53" i="17" s="1"/>
  <c r="H42" i="16"/>
  <c r="H49" i="15"/>
  <c r="H73" i="14"/>
  <c r="H47" i="13"/>
  <c r="H45" i="12"/>
  <c r="H67" i="11"/>
  <c r="H64" i="10"/>
  <c r="H96" i="9"/>
  <c r="H52" i="7"/>
  <c r="H53" i="8"/>
  <c r="H52" i="6"/>
  <c r="H70" i="5"/>
  <c r="H72" i="4"/>
  <c r="H53" i="3"/>
  <c r="H47" i="2"/>
  <c r="H54" i="1"/>
  <c r="I58" i="22"/>
  <c r="O56" i="22" s="1"/>
  <c r="I104" i="22"/>
  <c r="I123" i="15"/>
  <c r="I54" i="7"/>
  <c r="O53" i="7" s="1"/>
  <c r="O100" i="22"/>
  <c r="O75" i="22"/>
  <c r="O12" i="22"/>
  <c r="O34" i="21"/>
  <c r="O28" i="21"/>
  <c r="O23" i="21"/>
  <c r="P37" i="20"/>
  <c r="N37" i="19"/>
  <c r="O37" i="19"/>
  <c r="O26" i="19"/>
  <c r="O12" i="16"/>
  <c r="O43" i="13"/>
  <c r="O39" i="12"/>
  <c r="O38" i="11"/>
  <c r="P84" i="9"/>
  <c r="O44" i="7"/>
  <c r="P54" i="8"/>
  <c r="P49" i="8"/>
  <c r="O45" i="6"/>
  <c r="O49" i="3"/>
  <c r="O40" i="3"/>
  <c r="N62" i="4"/>
  <c r="H26" i="29"/>
  <c r="G26" i="29"/>
  <c r="H33" i="21"/>
  <c r="L34" i="21" s="1"/>
  <c r="H36" i="20"/>
  <c r="H36" i="19"/>
  <c r="L37" i="19" s="1"/>
  <c r="H28" i="18"/>
  <c r="H46" i="17"/>
  <c r="L47" i="17" s="1"/>
  <c r="H37" i="16"/>
  <c r="H42" i="15"/>
  <c r="H63" i="14"/>
  <c r="H42" i="13"/>
  <c r="H38" i="12"/>
  <c r="H62" i="11"/>
  <c r="H57" i="10"/>
  <c r="H43" i="7"/>
  <c r="H48" i="8"/>
  <c r="H44" i="6"/>
  <c r="H59" i="5"/>
  <c r="H48" i="3"/>
  <c r="H40" i="2"/>
  <c r="H47" i="1"/>
  <c r="H61" i="4"/>
  <c r="H83" i="9"/>
  <c r="H99" i="22"/>
  <c r="N15" i="19"/>
  <c r="N19" i="19"/>
  <c r="N47" i="17"/>
  <c r="O41" i="17"/>
  <c r="N41" i="17"/>
  <c r="O39" i="7"/>
  <c r="O23" i="5"/>
  <c r="O50" i="4"/>
  <c r="O36" i="15"/>
  <c r="O37" i="20"/>
  <c r="P33" i="20"/>
  <c r="O33" i="20"/>
  <c r="O49" i="8"/>
  <c r="H27" i="21"/>
  <c r="L28" i="21" s="1"/>
  <c r="H22" i="21"/>
  <c r="L23" i="21" s="1"/>
  <c r="H32" i="20"/>
  <c r="H21" i="19"/>
  <c r="L22" i="19" s="1"/>
  <c r="H25" i="19"/>
  <c r="L26" i="19" s="1"/>
  <c r="M26" i="19" s="1"/>
  <c r="H25" i="18"/>
  <c r="H40" i="17"/>
  <c r="L41" i="17" s="1"/>
  <c r="H32" i="16"/>
  <c r="H35" i="15"/>
  <c r="H48" i="14"/>
  <c r="H36" i="13"/>
  <c r="H53" i="11"/>
  <c r="H48" i="10"/>
  <c r="P50" i="9"/>
  <c r="H68" i="9"/>
  <c r="H38" i="7"/>
  <c r="H36" i="8"/>
  <c r="H38" i="6"/>
  <c r="H49" i="5"/>
  <c r="H49" i="4"/>
  <c r="H39" i="3"/>
  <c r="H32" i="2"/>
  <c r="H38" i="1"/>
  <c r="H30" i="1"/>
  <c r="H74" i="22"/>
  <c r="O49" i="14"/>
  <c r="O88" i="10"/>
  <c r="O80" i="10"/>
  <c r="O58" i="10"/>
  <c r="O50" i="10"/>
  <c r="O29" i="3"/>
  <c r="O37" i="10"/>
  <c r="D26" i="29"/>
  <c r="E26" i="29"/>
  <c r="F26" i="29"/>
  <c r="C26" i="29"/>
  <c r="O97" i="11"/>
  <c r="O110" i="11"/>
  <c r="O130" i="11"/>
  <c r="H35" i="14"/>
  <c r="N99" i="2" l="1"/>
  <c r="M47" i="21"/>
  <c r="P47" i="21"/>
  <c r="M55" i="21"/>
  <c r="P55" i="21"/>
  <c r="M63" i="21"/>
  <c r="P63" i="21"/>
  <c r="M63" i="17"/>
  <c r="P63" i="17" s="1"/>
  <c r="M53" i="17"/>
  <c r="P53" i="17"/>
  <c r="M47" i="17"/>
  <c r="P47" i="17" s="1"/>
  <c r="L26" i="29"/>
  <c r="M26" i="29"/>
  <c r="N26" i="29"/>
  <c r="M39" i="21"/>
  <c r="P39" i="21" s="1"/>
  <c r="M43" i="21"/>
  <c r="P43" i="21" s="1"/>
  <c r="L140" i="22"/>
  <c r="M140" i="22"/>
  <c r="M48" i="19"/>
  <c r="P48" i="19" s="1"/>
  <c r="M43" i="19"/>
  <c r="P43" i="19" s="1"/>
  <c r="Q43" i="20"/>
  <c r="Q49" i="20"/>
  <c r="J26" i="29"/>
  <c r="I26" i="29"/>
  <c r="L57" i="4"/>
  <c r="P26" i="19"/>
  <c r="M37" i="19"/>
  <c r="P37" i="19" s="1"/>
  <c r="M22" i="19"/>
  <c r="P22" i="19" s="1"/>
  <c r="M41" i="17"/>
  <c r="P41" i="17" s="1"/>
  <c r="M34" i="21"/>
  <c r="P34" i="21" s="1"/>
  <c r="M23" i="21"/>
  <c r="P23" i="21" s="1"/>
  <c r="M28" i="21"/>
  <c r="P28" i="21" s="1"/>
  <c r="M37" i="20"/>
  <c r="M49" i="8"/>
  <c r="O24" i="22"/>
  <c r="M33" i="20"/>
  <c r="H55" i="22"/>
  <c r="H27" i="20"/>
  <c r="H22" i="18"/>
  <c r="H35" i="17"/>
  <c r="H27" i="16"/>
  <c r="H26" i="15"/>
  <c r="H28" i="13"/>
  <c r="H21" i="12"/>
  <c r="H37" i="11"/>
  <c r="H35" i="10"/>
  <c r="H29" i="7"/>
  <c r="H29" i="8"/>
  <c r="H24" i="2"/>
  <c r="H28" i="3"/>
  <c r="H30" i="6"/>
  <c r="H35" i="5"/>
  <c r="H49" i="9"/>
  <c r="H38" i="4"/>
  <c r="N37" i="20" l="1"/>
  <c r="Q37" i="20" s="1"/>
  <c r="N49" i="8"/>
  <c r="Q49" i="8" s="1"/>
  <c r="N33" i="20"/>
  <c r="Q33" i="20" s="1"/>
  <c r="P29" i="20"/>
  <c r="O29" i="20"/>
  <c r="N29" i="20"/>
  <c r="M29" i="20"/>
  <c r="O36" i="17"/>
  <c r="N36" i="17"/>
  <c r="M36" i="17"/>
  <c r="L36" i="17"/>
  <c r="O21" i="17"/>
  <c r="O17" i="13"/>
  <c r="O22" i="12"/>
  <c r="O25" i="10"/>
  <c r="P23" i="9"/>
  <c r="P12" i="9"/>
  <c r="O18" i="7"/>
  <c r="O12" i="4"/>
  <c r="N25" i="2"/>
  <c r="O20" i="1"/>
  <c r="P30" i="9"/>
  <c r="P36" i="17" l="1"/>
  <c r="Q29" i="20"/>
  <c r="M170" i="9"/>
  <c r="N170" i="9" s="1"/>
  <c r="O170" i="9"/>
  <c r="Q170" i="9" l="1"/>
  <c r="O23" i="11"/>
  <c r="I26" i="26"/>
  <c r="K15" i="9"/>
  <c r="P20" i="20"/>
  <c r="O20" i="20"/>
  <c r="O15" i="20"/>
  <c r="O12" i="20"/>
  <c r="O12" i="11"/>
  <c r="O16" i="5"/>
  <c r="H20" i="22" l="1"/>
  <c r="M19" i="19"/>
  <c r="N12" i="19"/>
  <c r="N18" i="18"/>
  <c r="O22" i="16"/>
  <c r="H17" i="21"/>
  <c r="H19" i="20"/>
  <c r="M20" i="20" s="1"/>
  <c r="H18" i="19"/>
  <c r="L19" i="19" s="1"/>
  <c r="H17" i="18"/>
  <c r="H20" i="17"/>
  <c r="H21" i="16"/>
  <c r="H19" i="15"/>
  <c r="H16" i="13"/>
  <c r="H15" i="12"/>
  <c r="H22" i="11"/>
  <c r="H23" i="10"/>
  <c r="O23" i="14"/>
  <c r="H22" i="14"/>
  <c r="H19" i="6"/>
  <c r="H17" i="7"/>
  <c r="H17" i="8"/>
  <c r="P19" i="19" l="1"/>
  <c r="N20" i="20"/>
  <c r="Q20" i="20" s="1"/>
  <c r="L18" i="21"/>
  <c r="M18" i="21"/>
  <c r="H20" i="5"/>
  <c r="H24" i="4"/>
  <c r="H17" i="3"/>
  <c r="H17" i="2"/>
  <c r="H19" i="1"/>
  <c r="O17" i="17"/>
  <c r="N21" i="17"/>
  <c r="P18" i="21" l="1"/>
  <c r="O175" i="14"/>
  <c r="I177" i="9"/>
  <c r="I145" i="4" l="1"/>
  <c r="I93" i="16"/>
  <c r="H9" i="4" l="1"/>
  <c r="I100" i="17" l="1"/>
  <c r="H9" i="17"/>
  <c r="J9" i="12"/>
  <c r="N14" i="28"/>
  <c r="H11" i="22" l="1"/>
  <c r="H17" i="22"/>
  <c r="H11" i="21"/>
  <c r="H14" i="21"/>
  <c r="L15" i="21" s="1"/>
  <c r="H11" i="20"/>
  <c r="M12" i="20" s="1"/>
  <c r="H14" i="20"/>
  <c r="M15" i="20" s="1"/>
  <c r="H11" i="19"/>
  <c r="L12" i="19" s="1"/>
  <c r="H14" i="19"/>
  <c r="L15" i="19" s="1"/>
  <c r="H11" i="18"/>
  <c r="J11" i="18" s="1"/>
  <c r="H14" i="18"/>
  <c r="H11" i="17"/>
  <c r="J11" i="17" s="1"/>
  <c r="H16" i="17"/>
  <c r="H11" i="16"/>
  <c r="J11" i="16" s="1"/>
  <c r="J12" i="16" s="1"/>
  <c r="H16" i="16"/>
  <c r="H11" i="15"/>
  <c r="H16" i="15"/>
  <c r="H11" i="14"/>
  <c r="H16" i="14"/>
  <c r="H9" i="13"/>
  <c r="H13" i="13"/>
  <c r="H11" i="12"/>
  <c r="H13" i="12"/>
  <c r="H11" i="11"/>
  <c r="H16" i="11"/>
  <c r="H11" i="10"/>
  <c r="H19" i="10"/>
  <c r="H11" i="9"/>
  <c r="H22" i="9"/>
  <c r="H11" i="6"/>
  <c r="H15" i="6"/>
  <c r="H11" i="7"/>
  <c r="H14" i="7"/>
  <c r="H11" i="8"/>
  <c r="H112" i="8" s="1"/>
  <c r="H14" i="8"/>
  <c r="H11" i="5"/>
  <c r="H15" i="5"/>
  <c r="H11" i="4"/>
  <c r="H19" i="4"/>
  <c r="H11" i="3"/>
  <c r="J11" i="3" s="1"/>
  <c r="H14" i="3"/>
  <c r="H11" i="2"/>
  <c r="J11" i="2" s="1"/>
  <c r="H14" i="2"/>
  <c r="H11" i="1"/>
  <c r="H16" i="1"/>
  <c r="M15" i="21" l="1"/>
  <c r="P15" i="21" s="1"/>
  <c r="H87" i="12"/>
  <c r="H134" i="11"/>
  <c r="M15" i="19"/>
  <c r="P15" i="19" s="1"/>
  <c r="M12" i="19"/>
  <c r="P12" i="19" s="1"/>
  <c r="N15" i="20"/>
  <c r="Q15" i="20" s="1"/>
  <c r="N12" i="20"/>
  <c r="L12" i="21"/>
  <c r="J11" i="21"/>
  <c r="J11" i="4"/>
  <c r="O94" i="1"/>
  <c r="O85" i="1"/>
  <c r="H9" i="21"/>
  <c r="H9" i="20"/>
  <c r="H9" i="11"/>
  <c r="H9" i="7"/>
  <c r="H9" i="8"/>
  <c r="H113" i="8" s="1"/>
  <c r="J113" i="8" s="1"/>
  <c r="H9" i="5"/>
  <c r="H9" i="3"/>
  <c r="H9" i="2"/>
  <c r="H9" i="1"/>
  <c r="N13" i="28"/>
  <c r="N15" i="28"/>
  <c r="AD5" i="26"/>
  <c r="AD4" i="26"/>
  <c r="AA26" i="26"/>
  <c r="O143" i="14"/>
  <c r="M12" i="21" l="1"/>
  <c r="P12" i="21" s="1"/>
  <c r="Q12" i="20"/>
  <c r="N75" i="22"/>
  <c r="L267" i="22"/>
  <c r="L60" i="18"/>
  <c r="M60" i="18" s="1"/>
  <c r="L76" i="16"/>
  <c r="L91" i="15"/>
  <c r="L143" i="14"/>
  <c r="M143" i="14" s="1"/>
  <c r="L81" i="13"/>
  <c r="M81" i="13" s="1"/>
  <c r="P81" i="13" s="1"/>
  <c r="L74" i="12"/>
  <c r="M88" i="10"/>
  <c r="L84" i="3"/>
  <c r="O177" i="9"/>
  <c r="P151" i="9"/>
  <c r="L108" i="5"/>
  <c r="L214" i="22"/>
  <c r="M214" i="22" s="1"/>
  <c r="L53" i="18"/>
  <c r="M53" i="18" s="1"/>
  <c r="L114" i="14"/>
  <c r="L67" i="13"/>
  <c r="L65" i="12"/>
  <c r="M65" i="12" s="1"/>
  <c r="M80" i="10"/>
  <c r="L67" i="16"/>
  <c r="M67" i="16" s="1"/>
  <c r="L79" i="15"/>
  <c r="M79" i="15" s="1"/>
  <c r="O108" i="5"/>
  <c r="N108" i="5"/>
  <c r="N72" i="18"/>
  <c r="L72" i="18"/>
  <c r="N60" i="18"/>
  <c r="O53" i="18"/>
  <c r="N53" i="18"/>
  <c r="N46" i="18"/>
  <c r="N42" i="18"/>
  <c r="O34" i="18"/>
  <c r="N34" i="18"/>
  <c r="O29" i="18"/>
  <c r="N29" i="18"/>
  <c r="N285" i="22"/>
  <c r="L285" i="22"/>
  <c r="M285" i="22" s="1"/>
  <c r="N267" i="22"/>
  <c r="O214" i="22"/>
  <c r="N214" i="22"/>
  <c r="O182" i="22"/>
  <c r="N83" i="16"/>
  <c r="M83" i="16"/>
  <c r="L83" i="16"/>
  <c r="N76" i="16"/>
  <c r="O67" i="16"/>
  <c r="N67" i="16"/>
  <c r="N55" i="16"/>
  <c r="O48" i="16"/>
  <c r="N48" i="16"/>
  <c r="O43" i="16"/>
  <c r="N43" i="16"/>
  <c r="O38" i="16"/>
  <c r="N38" i="16"/>
  <c r="O33" i="16"/>
  <c r="N33" i="16"/>
  <c r="O28" i="16"/>
  <c r="N28" i="16"/>
  <c r="N22" i="16"/>
  <c r="O17" i="16"/>
  <c r="N17" i="16"/>
  <c r="N12" i="16"/>
  <c r="N114" i="15"/>
  <c r="L114" i="15"/>
  <c r="M114" i="15" s="1"/>
  <c r="N91" i="15"/>
  <c r="O79" i="15"/>
  <c r="N79" i="15"/>
  <c r="O67" i="15"/>
  <c r="N67" i="15"/>
  <c r="N58" i="15"/>
  <c r="N50" i="15"/>
  <c r="N43" i="15"/>
  <c r="N36" i="15"/>
  <c r="O27" i="15"/>
  <c r="N27" i="15"/>
  <c r="O20" i="15"/>
  <c r="N20" i="15"/>
  <c r="N17" i="15"/>
  <c r="O12" i="15"/>
  <c r="N12" i="15"/>
  <c r="N175" i="14"/>
  <c r="L175" i="14"/>
  <c r="M175" i="14" s="1"/>
  <c r="N143" i="14"/>
  <c r="O114" i="14"/>
  <c r="N114" i="14"/>
  <c r="O94" i="14"/>
  <c r="N94" i="14"/>
  <c r="N82" i="14"/>
  <c r="N74" i="14"/>
  <c r="N64" i="14"/>
  <c r="N49" i="14"/>
  <c r="N36" i="14"/>
  <c r="N23" i="14"/>
  <c r="O17" i="14"/>
  <c r="N17" i="14"/>
  <c r="O12" i="14"/>
  <c r="N12" i="14"/>
  <c r="N94" i="13"/>
  <c r="M94" i="13"/>
  <c r="L94" i="13"/>
  <c r="N81" i="13"/>
  <c r="O67" i="13"/>
  <c r="N67" i="13"/>
  <c r="O59" i="13"/>
  <c r="N59" i="13"/>
  <c r="N53" i="13"/>
  <c r="O48" i="13"/>
  <c r="N48" i="13"/>
  <c r="N43" i="13"/>
  <c r="N37" i="13"/>
  <c r="N29" i="13"/>
  <c r="L80" i="12"/>
  <c r="M80" i="12" s="1"/>
  <c r="O65" i="12"/>
  <c r="N97" i="10"/>
  <c r="M97" i="10"/>
  <c r="L97" i="10"/>
  <c r="N88" i="10"/>
  <c r="N80" i="10"/>
  <c r="N17" i="17"/>
  <c r="O12" i="17"/>
  <c r="N12" i="17"/>
  <c r="P94" i="13" l="1"/>
  <c r="P114" i="15"/>
  <c r="P143" i="14"/>
  <c r="P65" i="12"/>
  <c r="P97" i="10"/>
  <c r="P80" i="12"/>
  <c r="M74" i="12"/>
  <c r="P74" i="12" s="1"/>
  <c r="L88" i="10"/>
  <c r="P88" i="10" s="1"/>
  <c r="L80" i="10"/>
  <c r="P80" i="10" s="1"/>
  <c r="P53" i="18"/>
  <c r="M108" i="5"/>
  <c r="P108" i="5" s="1"/>
  <c r="M91" i="15"/>
  <c r="P91" i="15" s="1"/>
  <c r="M267" i="22"/>
  <c r="P267" i="22" s="1"/>
  <c r="P285" i="22"/>
  <c r="P214" i="22"/>
  <c r="P175" i="14"/>
  <c r="P60" i="18"/>
  <c r="M72" i="18"/>
  <c r="P72" i="18" s="1"/>
  <c r="P79" i="15"/>
  <c r="P83" i="16"/>
  <c r="P67" i="16"/>
  <c r="M76" i="16"/>
  <c r="P76" i="16" s="1"/>
  <c r="M114" i="14"/>
  <c r="P114" i="14" s="1"/>
  <c r="M67" i="13"/>
  <c r="P67" i="13" s="1"/>
  <c r="J9" i="14"/>
  <c r="N27" i="9"/>
  <c r="L46" i="18" l="1"/>
  <c r="L55" i="16"/>
  <c r="M55" i="16" s="1"/>
  <c r="P55" i="16" s="1"/>
  <c r="L67" i="15"/>
  <c r="L94" i="14"/>
  <c r="L59" i="13"/>
  <c r="N12" i="28"/>
  <c r="N17" i="13"/>
  <c r="N14" i="13"/>
  <c r="O9" i="13"/>
  <c r="N9" i="13"/>
  <c r="N113" i="22"/>
  <c r="N100" i="22"/>
  <c r="N182" i="22"/>
  <c r="L182" i="22"/>
  <c r="N56" i="22"/>
  <c r="N24" i="22"/>
  <c r="N18" i="22"/>
  <c r="N12" i="22"/>
  <c r="L58" i="12"/>
  <c r="M58" i="12" s="1"/>
  <c r="P58" i="12" s="1"/>
  <c r="O34" i="12"/>
  <c r="O16" i="12"/>
  <c r="O17" i="11"/>
  <c r="N71" i="10"/>
  <c r="N65" i="10"/>
  <c r="N58" i="10"/>
  <c r="N50" i="10"/>
  <c r="N37" i="10"/>
  <c r="N25" i="10"/>
  <c r="O20" i="10"/>
  <c r="N20" i="10"/>
  <c r="O12" i="10"/>
  <c r="N12" i="10"/>
  <c r="L75" i="10"/>
  <c r="M75" i="10" s="1"/>
  <c r="P18" i="8"/>
  <c r="P60" i="8"/>
  <c r="O30" i="7"/>
  <c r="O16" i="6"/>
  <c r="O12" i="6"/>
  <c r="N100" i="5"/>
  <c r="N88" i="5"/>
  <c r="N72" i="5"/>
  <c r="N60" i="5"/>
  <c r="O52" i="5"/>
  <c r="N52" i="5"/>
  <c r="O37" i="5"/>
  <c r="N37" i="5"/>
  <c r="N23" i="5"/>
  <c r="O12" i="5"/>
  <c r="O89" i="4"/>
  <c r="O60" i="3"/>
  <c r="O18" i="3"/>
  <c r="O48" i="2"/>
  <c r="O41" i="2"/>
  <c r="O25" i="2"/>
  <c r="O55" i="1"/>
  <c r="O48" i="1"/>
  <c r="O31" i="1"/>
  <c r="O13" i="1"/>
  <c r="P121" i="9"/>
  <c r="P69" i="9"/>
  <c r="L100" i="5"/>
  <c r="M100" i="5" s="1"/>
  <c r="M67" i="15" l="1"/>
  <c r="P67" i="15" s="1"/>
  <c r="M46" i="18"/>
  <c r="P46" i="18" s="1"/>
  <c r="M94" i="14"/>
  <c r="P94" i="14" s="1"/>
  <c r="M59" i="13"/>
  <c r="P59" i="13" s="1"/>
  <c r="P75" i="10"/>
  <c r="M182" i="22"/>
  <c r="P182" i="22" s="1"/>
  <c r="P100" i="5"/>
  <c r="P145" i="5" s="1"/>
  <c r="O113" i="22"/>
  <c r="L42" i="18"/>
  <c r="L48" i="16"/>
  <c r="L58" i="15"/>
  <c r="L53" i="13"/>
  <c r="L52" i="12"/>
  <c r="L71" i="10"/>
  <c r="L88" i="5"/>
  <c r="M52" i="12" l="1"/>
  <c r="P52" i="12" s="1"/>
  <c r="M42" i="18"/>
  <c r="P42" i="18" s="1"/>
  <c r="M58" i="15"/>
  <c r="P58" i="15" s="1"/>
  <c r="M48" i="16"/>
  <c r="P48" i="16" s="1"/>
  <c r="L82" i="14"/>
  <c r="M82" i="14"/>
  <c r="M53" i="13"/>
  <c r="P53" i="13" s="1"/>
  <c r="O53" i="6"/>
  <c r="M71" i="10"/>
  <c r="P71" i="10" s="1"/>
  <c r="L113" i="22"/>
  <c r="L34" i="18"/>
  <c r="L43" i="16"/>
  <c r="M43" i="16" s="1"/>
  <c r="P43" i="16" s="1"/>
  <c r="L50" i="15"/>
  <c r="L74" i="14"/>
  <c r="L48" i="13"/>
  <c r="L65" i="10"/>
  <c r="L72" i="5"/>
  <c r="P140" i="22" l="1"/>
  <c r="M50" i="15"/>
  <c r="P50" i="15" s="1"/>
  <c r="M34" i="18"/>
  <c r="P34" i="18" s="1"/>
  <c r="M72" i="5"/>
  <c r="P72" i="5" s="1"/>
  <c r="P82" i="14"/>
  <c r="M74" i="14"/>
  <c r="P74" i="14" s="1"/>
  <c r="M48" i="13"/>
  <c r="P48" i="13" s="1"/>
  <c r="M113" i="22"/>
  <c r="P113" i="22" s="1"/>
  <c r="M65" i="10"/>
  <c r="P65" i="10" s="1"/>
  <c r="O33" i="2"/>
  <c r="O39" i="6"/>
  <c r="L100" i="22"/>
  <c r="L29" i="18"/>
  <c r="L38" i="16"/>
  <c r="L43" i="15"/>
  <c r="L64" i="14"/>
  <c r="L43" i="13"/>
  <c r="L58" i="10"/>
  <c r="L60" i="5"/>
  <c r="L75" i="22"/>
  <c r="M75" i="22" s="1"/>
  <c r="L33" i="16"/>
  <c r="L36" i="15"/>
  <c r="L49" i="14"/>
  <c r="P49" i="14" s="1"/>
  <c r="L37" i="13"/>
  <c r="L50" i="10"/>
  <c r="L39" i="6"/>
  <c r="L52" i="5"/>
  <c r="M52" i="5" s="1"/>
  <c r="P52" i="5" s="1"/>
  <c r="O36" i="14"/>
  <c r="O37" i="13"/>
  <c r="M29" i="18" l="1"/>
  <c r="P29" i="18" s="1"/>
  <c r="M43" i="15"/>
  <c r="P43" i="15" s="1"/>
  <c r="M38" i="16"/>
  <c r="P38" i="16" s="1"/>
  <c r="L34" i="12"/>
  <c r="M34" i="12" s="1"/>
  <c r="P34" i="12" s="1"/>
  <c r="L39" i="12"/>
  <c r="M60" i="5"/>
  <c r="P60" i="5" s="1"/>
  <c r="M36" i="15"/>
  <c r="P36" i="15" s="1"/>
  <c r="M33" i="16"/>
  <c r="P33" i="16" s="1"/>
  <c r="P64" i="14"/>
  <c r="M37" i="13"/>
  <c r="P37" i="13" s="1"/>
  <c r="M43" i="13"/>
  <c r="P43" i="13" s="1"/>
  <c r="M100" i="22"/>
  <c r="P100" i="22" s="1"/>
  <c r="P75" i="22"/>
  <c r="M50" i="10"/>
  <c r="P50" i="10" s="1"/>
  <c r="M58" i="10"/>
  <c r="P58" i="10" s="1"/>
  <c r="L56" i="22"/>
  <c r="L23" i="18"/>
  <c r="L28" i="16"/>
  <c r="L27" i="15"/>
  <c r="L36" i="14"/>
  <c r="P36" i="14" s="1"/>
  <c r="P193" i="14" s="1"/>
  <c r="L29" i="13"/>
  <c r="L22" i="12"/>
  <c r="L37" i="10"/>
  <c r="L37" i="5"/>
  <c r="M37" i="5" s="1"/>
  <c r="P37" i="5" s="1"/>
  <c r="I100" i="1"/>
  <c r="M23" i="18" l="1"/>
  <c r="P23" i="18" s="1"/>
  <c r="M39" i="12"/>
  <c r="P39" i="12" s="1"/>
  <c r="M46" i="12"/>
  <c r="M22" i="12"/>
  <c r="P22" i="12" s="1"/>
  <c r="M27" i="15"/>
  <c r="P27" i="15" s="1"/>
  <c r="M28" i="16"/>
  <c r="P28" i="16" s="1"/>
  <c r="M29" i="13"/>
  <c r="P29" i="13" s="1"/>
  <c r="P105" i="13" s="1"/>
  <c r="M56" i="22"/>
  <c r="P56" i="22" s="1"/>
  <c r="M37" i="10"/>
  <c r="P37" i="10" s="1"/>
  <c r="L18" i="18"/>
  <c r="L22" i="16"/>
  <c r="L20" i="15"/>
  <c r="L23" i="14"/>
  <c r="L17" i="13"/>
  <c r="L25" i="10"/>
  <c r="L20" i="6"/>
  <c r="L23" i="5"/>
  <c r="P46" i="12" l="1"/>
  <c r="P91" i="12" s="1"/>
  <c r="M91" i="12"/>
  <c r="M17" i="13"/>
  <c r="M18" i="18"/>
  <c r="P18" i="18" s="1"/>
  <c r="M20" i="15"/>
  <c r="P20" i="15" s="1"/>
  <c r="M22" i="16"/>
  <c r="P22" i="16" s="1"/>
  <c r="L21" i="17"/>
  <c r="M21" i="17"/>
  <c r="M16" i="12"/>
  <c r="L16" i="12"/>
  <c r="M23" i="5"/>
  <c r="P23" i="5" s="1"/>
  <c r="M23" i="14"/>
  <c r="M24" i="22"/>
  <c r="L24" i="22"/>
  <c r="M25" i="10"/>
  <c r="P25" i="10" s="1"/>
  <c r="I295" i="22"/>
  <c r="P17" i="13" l="1"/>
  <c r="P21" i="17"/>
  <c r="P16" i="12"/>
  <c r="P24" i="22"/>
  <c r="P23" i="14"/>
  <c r="L18" i="22" l="1"/>
  <c r="M18" i="22" s="1"/>
  <c r="P18" i="22" s="1"/>
  <c r="L16" i="18"/>
  <c r="L17" i="17"/>
  <c r="L17" i="16"/>
  <c r="L17" i="15"/>
  <c r="L17" i="14"/>
  <c r="L14" i="13"/>
  <c r="L13" i="12"/>
  <c r="L20" i="10"/>
  <c r="L16" i="5"/>
  <c r="M16" i="18" l="1"/>
  <c r="P16" i="18" s="1"/>
  <c r="M13" i="12"/>
  <c r="P13" i="12" s="1"/>
  <c r="M17" i="15"/>
  <c r="P17" i="15" s="1"/>
  <c r="M17" i="17"/>
  <c r="P17" i="17" s="1"/>
  <c r="M17" i="16"/>
  <c r="P17" i="16" s="1"/>
  <c r="M17" i="14"/>
  <c r="P17" i="14" s="1"/>
  <c r="M14" i="13"/>
  <c r="P14" i="13" s="1"/>
  <c r="M20" i="10"/>
  <c r="P20" i="10" s="1"/>
  <c r="L12" i="17"/>
  <c r="L12" i="16"/>
  <c r="L12" i="10"/>
  <c r="M177" i="9"/>
  <c r="J11" i="6" l="1"/>
  <c r="J12" i="6" s="1"/>
  <c r="J13" i="6" s="1"/>
  <c r="J15" i="6" s="1"/>
  <c r="J16" i="6" s="1"/>
  <c r="J17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30" i="6" s="1"/>
  <c r="J31" i="6" s="1"/>
  <c r="J32" i="6" s="1"/>
  <c r="J33" i="6" s="1"/>
  <c r="J34" i="6" s="1"/>
  <c r="J35" i="6" s="1"/>
  <c r="J36" i="6" s="1"/>
  <c r="J38" i="6" s="1"/>
  <c r="J39" i="6" s="1"/>
  <c r="J40" i="6" s="1"/>
  <c r="J41" i="6" s="1"/>
  <c r="J42" i="6" s="1"/>
  <c r="J44" i="6" s="1"/>
  <c r="J45" i="6" s="1"/>
  <c r="J46" i="6" s="1"/>
  <c r="J47" i="6" s="1"/>
  <c r="J48" i="6" s="1"/>
  <c r="J49" i="6" s="1"/>
  <c r="J50" i="6" s="1"/>
  <c r="J52" i="6" s="1"/>
  <c r="J53" i="6" s="1"/>
  <c r="J54" i="6" s="1"/>
  <c r="J55" i="6" s="1"/>
  <c r="J56" i="6" s="1"/>
  <c r="J58" i="6" s="1"/>
  <c r="J59" i="6" s="1"/>
  <c r="J60" i="6" s="1"/>
  <c r="J61" i="6" s="1"/>
  <c r="J62" i="6" s="1"/>
  <c r="L12" i="15"/>
  <c r="M12" i="16"/>
  <c r="P12" i="16" s="1"/>
  <c r="L11" i="12"/>
  <c r="H76" i="18"/>
  <c r="H77" i="18" s="1"/>
  <c r="L13" i="18"/>
  <c r="M12" i="17"/>
  <c r="P12" i="17" s="1"/>
  <c r="J11" i="14"/>
  <c r="L12" i="14"/>
  <c r="H92" i="16"/>
  <c r="H93" i="16" s="1"/>
  <c r="L9" i="13"/>
  <c r="L12" i="22"/>
  <c r="M12" i="22" s="1"/>
  <c r="P12" i="22" s="1"/>
  <c r="M12" i="10"/>
  <c r="P12" i="10" s="1"/>
  <c r="J9" i="1"/>
  <c r="M13" i="18" l="1"/>
  <c r="P13" i="18" s="1"/>
  <c r="M11" i="12"/>
  <c r="P11" i="12" s="1"/>
  <c r="J63" i="6"/>
  <c r="J64" i="6" s="1"/>
  <c r="J65" i="6" s="1"/>
  <c r="J67" i="6" s="1"/>
  <c r="J68" i="6" s="1"/>
  <c r="J69" i="6" s="1"/>
  <c r="J70" i="6" s="1"/>
  <c r="J71" i="6" s="1"/>
  <c r="J72" i="6" s="1"/>
  <c r="M12" i="15"/>
  <c r="P12" i="15" s="1"/>
  <c r="M12" i="14"/>
  <c r="P12" i="14" s="1"/>
  <c r="R15" i="14" s="1"/>
  <c r="M9" i="13"/>
  <c r="P9" i="13" s="1"/>
  <c r="J9" i="21"/>
  <c r="J9" i="20"/>
  <c r="J11" i="20" s="1"/>
  <c r="J12" i="20" s="1"/>
  <c r="J9" i="19"/>
  <c r="J9" i="18"/>
  <c r="J12" i="18" s="1"/>
  <c r="J14" i="18" s="1"/>
  <c r="J15" i="18" s="1"/>
  <c r="J17" i="18" s="1"/>
  <c r="J9" i="16"/>
  <c r="J9" i="15"/>
  <c r="J11" i="15" s="1"/>
  <c r="J12" i="15" s="1"/>
  <c r="J13" i="15" s="1"/>
  <c r="J14" i="15" s="1"/>
  <c r="J16" i="15" s="1"/>
  <c r="J17" i="15" s="1"/>
  <c r="J19" i="15" s="1"/>
  <c r="J20" i="15" s="1"/>
  <c r="J21" i="15" s="1"/>
  <c r="J22" i="15" s="1"/>
  <c r="J23" i="15" s="1"/>
  <c r="J24" i="15" s="1"/>
  <c r="J26" i="15" s="1"/>
  <c r="J27" i="15" s="1"/>
  <c r="J28" i="15" s="1"/>
  <c r="J29" i="15" s="1"/>
  <c r="J30" i="15" s="1"/>
  <c r="J31" i="15" s="1"/>
  <c r="J32" i="15" s="1"/>
  <c r="J33" i="15" s="1"/>
  <c r="J35" i="15" s="1"/>
  <c r="J36" i="15" s="1"/>
  <c r="J37" i="15" s="1"/>
  <c r="J38" i="15" s="1"/>
  <c r="J39" i="15" s="1"/>
  <c r="J40" i="15" s="1"/>
  <c r="J42" i="15" s="1"/>
  <c r="J43" i="15" s="1"/>
  <c r="J44" i="15" s="1"/>
  <c r="J45" i="15" s="1"/>
  <c r="J46" i="15" s="1"/>
  <c r="J47" i="15" s="1"/>
  <c r="J49" i="15" s="1"/>
  <c r="J50" i="15" s="1"/>
  <c r="J51" i="15" s="1"/>
  <c r="J52" i="15" s="1"/>
  <c r="J53" i="15" s="1"/>
  <c r="J54" i="15" s="1"/>
  <c r="J55" i="15" s="1"/>
  <c r="J7" i="13"/>
  <c r="J9" i="13" s="1"/>
  <c r="J10" i="13" s="1"/>
  <c r="J11" i="13" s="1"/>
  <c r="J13" i="13" s="1"/>
  <c r="J14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11" i="12"/>
  <c r="J9" i="11"/>
  <c r="J11" i="11" s="1"/>
  <c r="J9" i="10"/>
  <c r="J11" i="10" s="1"/>
  <c r="J9" i="8"/>
  <c r="J11" i="8" s="1"/>
  <c r="J12" i="8" s="1"/>
  <c r="J14" i="8" s="1"/>
  <c r="J15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9" i="8" s="1"/>
  <c r="J30" i="8" s="1"/>
  <c r="J31" i="8" s="1"/>
  <c r="J32" i="8" s="1"/>
  <c r="J33" i="8" s="1"/>
  <c r="J34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8" i="8" s="1"/>
  <c r="J49" i="8" s="1"/>
  <c r="J50" i="8" s="1"/>
  <c r="J51" i="8" s="1"/>
  <c r="J53" i="8" s="1"/>
  <c r="J54" i="8" s="1"/>
  <c r="J55" i="8" s="1"/>
  <c r="J56" i="8" s="1"/>
  <c r="J57" i="8" s="1"/>
  <c r="J59" i="8" s="1"/>
  <c r="J9" i="7"/>
  <c r="J11" i="7" s="1"/>
  <c r="J9" i="6"/>
  <c r="J9" i="5"/>
  <c r="J11" i="5" s="1"/>
  <c r="J12" i="5" s="1"/>
  <c r="J13" i="5" s="1"/>
  <c r="J15" i="5" s="1"/>
  <c r="J9" i="4"/>
  <c r="J9" i="3"/>
  <c r="J9" i="2"/>
  <c r="J12" i="2" s="1"/>
  <c r="J14" i="2" s="1"/>
  <c r="J15" i="2" s="1"/>
  <c r="J17" i="2" s="1"/>
  <c r="J18" i="2" s="1"/>
  <c r="J19" i="2" s="1"/>
  <c r="J20" i="2" s="1"/>
  <c r="J21" i="2" s="1"/>
  <c r="J22" i="2" s="1"/>
  <c r="J24" i="2" s="1"/>
  <c r="J25" i="2" s="1"/>
  <c r="J26" i="2" s="1"/>
  <c r="J27" i="2" s="1"/>
  <c r="J28" i="2" s="1"/>
  <c r="J29" i="2" s="1"/>
  <c r="J11" i="19" l="1"/>
  <c r="J12" i="19" s="1"/>
  <c r="J14" i="19" s="1"/>
  <c r="J75" i="6"/>
  <c r="J76" i="6" s="1"/>
  <c r="J28" i="13"/>
  <c r="J29" i="13" s="1"/>
  <c r="J30" i="13" s="1"/>
  <c r="J31" i="13" s="1"/>
  <c r="J32" i="13" s="1"/>
  <c r="J33" i="13" s="1"/>
  <c r="J34" i="13" s="1"/>
  <c r="AB4" i="26"/>
  <c r="AB5" i="26"/>
  <c r="AB6" i="26"/>
  <c r="AB7" i="26"/>
  <c r="AB8" i="26"/>
  <c r="AB9" i="26"/>
  <c r="AB10" i="26"/>
  <c r="AB11" i="26"/>
  <c r="AB12" i="26"/>
  <c r="AB13" i="26"/>
  <c r="AB14" i="26"/>
  <c r="AB15" i="26"/>
  <c r="AB16" i="26"/>
  <c r="AB17" i="26"/>
  <c r="AB18" i="26"/>
  <c r="AB19" i="26"/>
  <c r="AB20" i="26"/>
  <c r="AB21" i="26"/>
  <c r="AB22" i="26"/>
  <c r="AB23" i="26"/>
  <c r="C14" i="27" s="1"/>
  <c r="AB24" i="26"/>
  <c r="AB25" i="26"/>
  <c r="J36" i="13" l="1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J15" i="19" l="1"/>
  <c r="J18" i="19" s="1"/>
  <c r="J21" i="19" s="1"/>
  <c r="J22" i="19" s="1"/>
  <c r="J23" i="19" s="1"/>
  <c r="J25" i="19" s="1"/>
  <c r="J26" i="19" s="1"/>
  <c r="AD26" i="26"/>
  <c r="J27" i="19" l="1"/>
  <c r="J28" i="19" s="1"/>
  <c r="J29" i="19" s="1"/>
  <c r="J30" i="19" s="1"/>
  <c r="J31" i="19" s="1"/>
  <c r="J32" i="19" s="1"/>
  <c r="J33" i="19" s="1"/>
  <c r="J34" i="19" s="1"/>
  <c r="J36" i="19" s="1"/>
  <c r="J37" i="19" s="1"/>
  <c r="H294" i="22"/>
  <c r="J38" i="19" l="1"/>
  <c r="J39" i="19" s="1"/>
  <c r="J40" i="19" s="1"/>
  <c r="J42" i="19" s="1"/>
  <c r="J43" i="19" s="1"/>
  <c r="N130" i="11"/>
  <c r="L130" i="11"/>
  <c r="N121" i="11"/>
  <c r="L121" i="11"/>
  <c r="N110" i="11"/>
  <c r="L110" i="11"/>
  <c r="N97" i="11"/>
  <c r="L97" i="11"/>
  <c r="N81" i="11"/>
  <c r="L81" i="11"/>
  <c r="N68" i="11"/>
  <c r="L68" i="11"/>
  <c r="N63" i="11"/>
  <c r="N54" i="11"/>
  <c r="J44" i="19" l="1"/>
  <c r="J45" i="19" s="1"/>
  <c r="J47" i="19" s="1"/>
  <c r="J48" i="19" s="1"/>
  <c r="J49" i="19" s="1"/>
  <c r="J50" i="19" s="1"/>
  <c r="J51" i="19" s="1"/>
  <c r="J52" i="19" s="1"/>
  <c r="J53" i="19" s="1"/>
  <c r="J54" i="19" s="1"/>
  <c r="L63" i="11"/>
  <c r="L54" i="11" l="1"/>
  <c r="N38" i="11" l="1"/>
  <c r="L38" i="11"/>
  <c r="N17" i="11"/>
  <c r="N12" i="11"/>
  <c r="M130" i="11" l="1"/>
  <c r="M110" i="11"/>
  <c r="M38" i="11"/>
  <c r="P38" i="11" s="1"/>
  <c r="O18" i="2"/>
  <c r="P130" i="11" l="1"/>
  <c r="P110" i="11"/>
  <c r="M121" i="11"/>
  <c r="P121" i="11" s="1"/>
  <c r="M97" i="11"/>
  <c r="P97" i="11" s="1"/>
  <c r="M81" i="11"/>
  <c r="P81" i="11" s="1"/>
  <c r="M68" i="11"/>
  <c r="P68" i="11" s="1"/>
  <c r="M63" i="11"/>
  <c r="M54" i="11"/>
  <c r="N23" i="11" l="1"/>
  <c r="L23" i="11" l="1"/>
  <c r="M23" i="11" s="1"/>
  <c r="P23" i="11" l="1"/>
  <c r="P63" i="11"/>
  <c r="I135" i="11"/>
  <c r="P54" i="11"/>
  <c r="I192" i="14"/>
  <c r="I199" i="14" l="1"/>
  <c r="L17" i="11"/>
  <c r="M17" i="11" s="1"/>
  <c r="P17" i="11" s="1"/>
  <c r="L12" i="11" l="1"/>
  <c r="M12" i="11" s="1"/>
  <c r="P12" i="11" s="1"/>
  <c r="O151" i="9"/>
  <c r="O135" i="9"/>
  <c r="O121" i="9"/>
  <c r="O109" i="9"/>
  <c r="O97" i="9"/>
  <c r="O84" i="9"/>
  <c r="O69" i="9"/>
  <c r="O50" i="9"/>
  <c r="O30" i="9"/>
  <c r="O23" i="9"/>
  <c r="O12" i="9"/>
  <c r="O95" i="8"/>
  <c r="O77" i="8"/>
  <c r="O69" i="8"/>
  <c r="O65" i="8"/>
  <c r="O60" i="8"/>
  <c r="O54" i="8"/>
  <c r="O37" i="8"/>
  <c r="O30" i="8"/>
  <c r="O18" i="8"/>
  <c r="O15" i="8"/>
  <c r="O12" i="8"/>
  <c r="O103" i="7"/>
  <c r="N103" i="7"/>
  <c r="O89" i="7"/>
  <c r="N89" i="7"/>
  <c r="N76" i="7"/>
  <c r="N69" i="7"/>
  <c r="N62" i="7"/>
  <c r="N53" i="7"/>
  <c r="N44" i="7"/>
  <c r="N39" i="7"/>
  <c r="N30" i="7"/>
  <c r="N18" i="7"/>
  <c r="N15" i="7"/>
  <c r="N12" i="7"/>
  <c r="O106" i="6" l="1"/>
  <c r="N106" i="6"/>
  <c r="N90" i="6"/>
  <c r="N76" i="6"/>
  <c r="N68" i="6"/>
  <c r="N59" i="6"/>
  <c r="N53" i="6"/>
  <c r="N45" i="6"/>
  <c r="N39" i="6"/>
  <c r="N31" i="6"/>
  <c r="N20" i="6"/>
  <c r="N16" i="6"/>
  <c r="N12" i="6"/>
  <c r="N16" i="5"/>
  <c r="N12" i="5"/>
  <c r="N136" i="4"/>
  <c r="N121" i="4"/>
  <c r="N103" i="4"/>
  <c r="N89" i="4"/>
  <c r="N81" i="4"/>
  <c r="N73" i="4"/>
  <c r="N50" i="4"/>
  <c r="N39" i="4"/>
  <c r="N25" i="4"/>
  <c r="N20" i="4"/>
  <c r="N12" i="4"/>
  <c r="N97" i="3"/>
  <c r="N84" i="3"/>
  <c r="N75" i="3"/>
  <c r="N68" i="3"/>
  <c r="N60" i="3"/>
  <c r="N54" i="3"/>
  <c r="N49" i="3"/>
  <c r="N40" i="3"/>
  <c r="N29" i="3"/>
  <c r="N18" i="3"/>
  <c r="N15" i="3"/>
  <c r="N12" i="3"/>
  <c r="O71" i="2"/>
  <c r="O90" i="2"/>
  <c r="N90" i="2"/>
  <c r="N81" i="2"/>
  <c r="N71" i="2"/>
  <c r="N62" i="2"/>
  <c r="N55" i="2"/>
  <c r="N48" i="2"/>
  <c r="N41" i="2"/>
  <c r="N33" i="2"/>
  <c r="N18" i="2"/>
  <c r="N15" i="2"/>
  <c r="N12" i="2"/>
  <c r="N94" i="1" l="1"/>
  <c r="N85" i="1"/>
  <c r="O72" i="1"/>
  <c r="O102" i="1" s="1"/>
  <c r="N72" i="1"/>
  <c r="N66" i="1"/>
  <c r="N60" i="1"/>
  <c r="N55" i="1"/>
  <c r="N48" i="1"/>
  <c r="N39" i="1"/>
  <c r="N31" i="1"/>
  <c r="N20" i="1"/>
  <c r="N17" i="1"/>
  <c r="N13" i="1"/>
  <c r="N191" i="14"/>
  <c r="N103" i="13"/>
  <c r="N135" i="11"/>
  <c r="L135" i="11"/>
  <c r="M135" i="11" s="1"/>
  <c r="N110" i="7"/>
  <c r="N145" i="4"/>
  <c r="N104" i="3"/>
  <c r="N95" i="2"/>
  <c r="P135" i="11" l="1"/>
  <c r="M95" i="8" l="1"/>
  <c r="N95" i="8" s="1"/>
  <c r="L103" i="7"/>
  <c r="L106" i="6"/>
  <c r="M106" i="6" s="1"/>
  <c r="P106" i="6" s="1"/>
  <c r="L136" i="4"/>
  <c r="L97" i="3"/>
  <c r="M97" i="3" s="1"/>
  <c r="P97" i="3" s="1"/>
  <c r="L90" i="2"/>
  <c r="L94" i="1"/>
  <c r="M94" i="1" l="1"/>
  <c r="P94" i="1" s="1"/>
  <c r="M103" i="7"/>
  <c r="P103" i="7" s="1"/>
  <c r="M90" i="2"/>
  <c r="P90" i="2" s="1"/>
  <c r="M136" i="4"/>
  <c r="P136" i="4" s="1"/>
  <c r="M151" i="9" l="1"/>
  <c r="N151" i="9" s="1"/>
  <c r="Q151" i="9" s="1"/>
  <c r="M77" i="8"/>
  <c r="N77" i="8" s="1"/>
  <c r="L89" i="7"/>
  <c r="L90" i="6"/>
  <c r="M90" i="6" s="1"/>
  <c r="P90" i="6" s="1"/>
  <c r="L121" i="4"/>
  <c r="M84" i="3"/>
  <c r="P84" i="3" s="1"/>
  <c r="L81" i="2"/>
  <c r="M81" i="2" s="1"/>
  <c r="P81" i="2" s="1"/>
  <c r="L85" i="1"/>
  <c r="M89" i="7" l="1"/>
  <c r="P89" i="7" s="1"/>
  <c r="M85" i="1"/>
  <c r="P85" i="1" s="1"/>
  <c r="M121" i="4"/>
  <c r="P121" i="4" s="1"/>
  <c r="M135" i="9" l="1"/>
  <c r="N135" i="9" s="1"/>
  <c r="Q135" i="9" s="1"/>
  <c r="M69" i="8"/>
  <c r="N69" i="8" s="1"/>
  <c r="L76" i="7"/>
  <c r="M76" i="7" s="1"/>
  <c r="P76" i="7" s="1"/>
  <c r="L103" i="4"/>
  <c r="L75" i="3"/>
  <c r="M75" i="3" s="1"/>
  <c r="P75" i="3" s="1"/>
  <c r="L71" i="2"/>
  <c r="L72" i="1"/>
  <c r="M72" i="1" s="1"/>
  <c r="P72" i="1" s="1"/>
  <c r="AC4" i="26"/>
  <c r="L76" i="6" l="1"/>
  <c r="M76" i="6" s="1"/>
  <c r="P76" i="6" s="1"/>
  <c r="M71" i="2"/>
  <c r="P71" i="2" s="1"/>
  <c r="M103" i="4"/>
  <c r="P103" i="4" s="1"/>
  <c r="M88" i="5" l="1"/>
  <c r="P88" i="5" s="1"/>
  <c r="M121" i="9" l="1"/>
  <c r="N121" i="9" s="1"/>
  <c r="Q121" i="9" s="1"/>
  <c r="M65" i="8"/>
  <c r="N65" i="8" s="1"/>
  <c r="L69" i="7"/>
  <c r="M69" i="7" s="1"/>
  <c r="P69" i="7" s="1"/>
  <c r="L68" i="6"/>
  <c r="L89" i="4"/>
  <c r="M89" i="4" s="1"/>
  <c r="P89" i="4" s="1"/>
  <c r="L68" i="3"/>
  <c r="M68" i="3" s="1"/>
  <c r="P68" i="3" s="1"/>
  <c r="L62" i="2"/>
  <c r="L66" i="1"/>
  <c r="M68" i="6" l="1"/>
  <c r="P68" i="6" s="1"/>
  <c r="M66" i="1"/>
  <c r="P66" i="1" s="1"/>
  <c r="M62" i="2"/>
  <c r="P62" i="2" s="1"/>
  <c r="M109" i="9" l="1"/>
  <c r="N109" i="9" s="1"/>
  <c r="Q109" i="9" s="1"/>
  <c r="M60" i="8"/>
  <c r="N60" i="8" s="1"/>
  <c r="Q60" i="8" s="1"/>
  <c r="L62" i="7"/>
  <c r="M62" i="7" s="1"/>
  <c r="P62" i="7" s="1"/>
  <c r="L59" i="6"/>
  <c r="L81" i="4"/>
  <c r="L60" i="3"/>
  <c r="M60" i="3" s="1"/>
  <c r="P60" i="3" s="1"/>
  <c r="L55" i="2"/>
  <c r="M55" i="2" s="1"/>
  <c r="P55" i="2" s="1"/>
  <c r="L60" i="1"/>
  <c r="M59" i="6" l="1"/>
  <c r="P59" i="6" s="1"/>
  <c r="M60" i="1"/>
  <c r="P60" i="1" s="1"/>
  <c r="M81" i="4"/>
  <c r="P81" i="4" s="1"/>
  <c r="M97" i="9" l="1"/>
  <c r="N97" i="9" s="1"/>
  <c r="Q97" i="9" s="1"/>
  <c r="M54" i="8"/>
  <c r="L53" i="7"/>
  <c r="M53" i="7" s="1"/>
  <c r="P53" i="7" s="1"/>
  <c r="L53" i="6"/>
  <c r="M53" i="6" s="1"/>
  <c r="P53" i="6" s="1"/>
  <c r="L73" i="4"/>
  <c r="M73" i="4" s="1"/>
  <c r="P73" i="4" s="1"/>
  <c r="L54" i="3"/>
  <c r="L48" i="2"/>
  <c r="L55" i="1"/>
  <c r="M55" i="1" s="1"/>
  <c r="P55" i="1" s="1"/>
  <c r="M48" i="2" l="1"/>
  <c r="P48" i="2" s="1"/>
  <c r="N54" i="8"/>
  <c r="Q54" i="8" s="1"/>
  <c r="M54" i="3"/>
  <c r="P54" i="3" s="1"/>
  <c r="M84" i="9" l="1"/>
  <c r="N84" i="9" s="1"/>
  <c r="Q84" i="9" s="1"/>
  <c r="L44" i="7"/>
  <c r="M44" i="7" s="1"/>
  <c r="P44" i="7" s="1"/>
  <c r="L45" i="6"/>
  <c r="M45" i="6" s="1"/>
  <c r="P45" i="6" s="1"/>
  <c r="L62" i="4"/>
  <c r="M62" i="4" s="1"/>
  <c r="P62" i="4" s="1"/>
  <c r="L49" i="3"/>
  <c r="M49" i="3" s="1"/>
  <c r="P49" i="3" s="1"/>
  <c r="L41" i="2"/>
  <c r="M41" i="2" s="1"/>
  <c r="P41" i="2" s="1"/>
  <c r="L48" i="1"/>
  <c r="M48" i="1" s="1"/>
  <c r="P48" i="1" s="1"/>
  <c r="M69" i="9" l="1"/>
  <c r="N69" i="9" s="1"/>
  <c r="Q69" i="9" s="1"/>
  <c r="M37" i="8"/>
  <c r="N37" i="8" s="1"/>
  <c r="Q37" i="8" s="1"/>
  <c r="L39" i="7"/>
  <c r="M39" i="7" s="1"/>
  <c r="P39" i="7" s="1"/>
  <c r="L50" i="4"/>
  <c r="M50" i="4" s="1"/>
  <c r="P50" i="4" s="1"/>
  <c r="L40" i="3"/>
  <c r="M40" i="3" s="1"/>
  <c r="P40" i="3" s="1"/>
  <c r="L33" i="2"/>
  <c r="M33" i="2" s="1"/>
  <c r="P33" i="2" s="1"/>
  <c r="L39" i="1"/>
  <c r="M39" i="6" l="1"/>
  <c r="P39" i="6" s="1"/>
  <c r="M39" i="1"/>
  <c r="P39" i="1" s="1"/>
  <c r="M50" i="9" l="1"/>
  <c r="M30" i="8"/>
  <c r="N30" i="8" s="1"/>
  <c r="Q30" i="8" s="1"/>
  <c r="L30" i="7"/>
  <c r="M30" i="7" s="1"/>
  <c r="P30" i="7" s="1"/>
  <c r="L31" i="6"/>
  <c r="M31" i="6" s="1"/>
  <c r="P31" i="6" s="1"/>
  <c r="L39" i="4"/>
  <c r="M39" i="4" s="1"/>
  <c r="P39" i="4" s="1"/>
  <c r="L29" i="3"/>
  <c r="L25" i="2"/>
  <c r="L31" i="1"/>
  <c r="M31" i="1" s="1"/>
  <c r="P31" i="1" s="1"/>
  <c r="M29" i="3" l="1"/>
  <c r="P29" i="3"/>
  <c r="N50" i="9"/>
  <c r="Q50" i="9" s="1"/>
  <c r="M25" i="2"/>
  <c r="P25" i="2" s="1"/>
  <c r="M30" i="9" l="1"/>
  <c r="M18" i="8"/>
  <c r="L18" i="7"/>
  <c r="M20" i="6"/>
  <c r="P20" i="6" s="1"/>
  <c r="L25" i="4"/>
  <c r="M25" i="4" s="1"/>
  <c r="P25" i="4" s="1"/>
  <c r="L18" i="3"/>
  <c r="M18" i="3" s="1"/>
  <c r="P18" i="3" s="1"/>
  <c r="L18" i="2"/>
  <c r="M18" i="2" s="1"/>
  <c r="P18" i="2" s="1"/>
  <c r="L20" i="1"/>
  <c r="M18" i="7" l="1"/>
  <c r="P18" i="7" s="1"/>
  <c r="N30" i="9"/>
  <c r="Q30" i="9" s="1"/>
  <c r="M20" i="1"/>
  <c r="P20" i="1" s="1"/>
  <c r="N18" i="8"/>
  <c r="Q18" i="8" s="1"/>
  <c r="L17" i="1" l="1"/>
  <c r="M17" i="1" l="1"/>
  <c r="P17" i="1" s="1"/>
  <c r="M23" i="9" l="1"/>
  <c r="N23" i="9" s="1"/>
  <c r="Q23" i="9" s="1"/>
  <c r="M15" i="8"/>
  <c r="N15" i="8" s="1"/>
  <c r="Q15" i="8" s="1"/>
  <c r="L15" i="7"/>
  <c r="M15" i="7" s="1"/>
  <c r="P15" i="7" s="1"/>
  <c r="L16" i="6"/>
  <c r="M16" i="6" s="1"/>
  <c r="P16" i="6" s="1"/>
  <c r="M16" i="5"/>
  <c r="P16" i="5" s="1"/>
  <c r="L20" i="4"/>
  <c r="L15" i="3"/>
  <c r="M15" i="3" s="1"/>
  <c r="P15" i="3" s="1"/>
  <c r="L15" i="2"/>
  <c r="M15" i="2" l="1"/>
  <c r="P15" i="2" s="1"/>
  <c r="M20" i="4"/>
  <c r="P20" i="4" s="1"/>
  <c r="H135" i="11" l="1"/>
  <c r="H75" i="21" l="1"/>
  <c r="L75" i="21" s="1"/>
  <c r="H110" i="19"/>
  <c r="H111" i="19" s="1"/>
  <c r="H99" i="17"/>
  <c r="H100" i="17" s="1"/>
  <c r="H94" i="20"/>
  <c r="H95" i="20" s="1"/>
  <c r="H144" i="4"/>
  <c r="H145" i="4" s="1"/>
  <c r="J12" i="14"/>
  <c r="J13" i="14" s="1"/>
  <c r="J14" i="14" s="1"/>
  <c r="J16" i="14" s="1"/>
  <c r="J17" i="14" s="1"/>
  <c r="J18" i="14" s="1"/>
  <c r="J19" i="14" s="1"/>
  <c r="J20" i="14" s="1"/>
  <c r="M12" i="8"/>
  <c r="N12" i="8" s="1"/>
  <c r="Q12" i="8" s="1"/>
  <c r="M113" i="8"/>
  <c r="N113" i="8" s="1"/>
  <c r="Q113" i="8" s="1"/>
  <c r="H176" i="9"/>
  <c r="M12" i="9"/>
  <c r="N177" i="9"/>
  <c r="Q177" i="9" s="1"/>
  <c r="H102" i="13"/>
  <c r="H103" i="13" s="1"/>
  <c r="L103" i="13"/>
  <c r="M103" i="13" s="1"/>
  <c r="P103" i="13" s="1"/>
  <c r="L13" i="1"/>
  <c r="M13" i="1" s="1"/>
  <c r="P13" i="1" s="1"/>
  <c r="P102" i="1" s="1"/>
  <c r="H104" i="10"/>
  <c r="H105" i="10" s="1"/>
  <c r="H88" i="12"/>
  <c r="L88" i="12"/>
  <c r="H191" i="14"/>
  <c r="L191" i="14"/>
  <c r="H122" i="15"/>
  <c r="H123" i="15" s="1"/>
  <c r="H113" i="6"/>
  <c r="H114" i="6" s="1"/>
  <c r="L12" i="6"/>
  <c r="M12" i="6" s="1"/>
  <c r="P12" i="6" s="1"/>
  <c r="P117" i="6" s="1"/>
  <c r="L114" i="6"/>
  <c r="M114" i="6" s="1"/>
  <c r="P114" i="6" s="1"/>
  <c r="H109" i="7"/>
  <c r="H110" i="7" s="1"/>
  <c r="L12" i="7"/>
  <c r="M12" i="7" s="1"/>
  <c r="P12" i="7" s="1"/>
  <c r="P112" i="7" s="1"/>
  <c r="L110" i="7"/>
  <c r="H94" i="2"/>
  <c r="H95" i="2" s="1"/>
  <c r="L12" i="2"/>
  <c r="M12" i="2" s="1"/>
  <c r="P12" i="2" s="1"/>
  <c r="P97" i="2" s="1"/>
  <c r="L95" i="2"/>
  <c r="M95" i="2" s="1"/>
  <c r="H103" i="3"/>
  <c r="H104" i="3" s="1"/>
  <c r="L12" i="3"/>
  <c r="M12" i="3" s="1"/>
  <c r="P12" i="3" s="1"/>
  <c r="P106" i="3" s="1"/>
  <c r="L104" i="3"/>
  <c r="H144" i="5"/>
  <c r="H145" i="5" s="1"/>
  <c r="L12" i="5"/>
  <c r="L141" i="5"/>
  <c r="M141" i="5" s="1"/>
  <c r="P141" i="5" s="1"/>
  <c r="L12" i="4"/>
  <c r="M12" i="4" s="1"/>
  <c r="P12" i="4" s="1"/>
  <c r="P147" i="4" s="1"/>
  <c r="L145" i="4"/>
  <c r="H99" i="1"/>
  <c r="P100" i="1" l="1"/>
  <c r="H192" i="14"/>
  <c r="J192" i="14" s="1"/>
  <c r="H100" i="1"/>
  <c r="J100" i="1" s="1"/>
  <c r="J22" i="14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5" i="14" s="1"/>
  <c r="H150" i="4"/>
  <c r="M104" i="3"/>
  <c r="P104" i="3" s="1"/>
  <c r="M110" i="7"/>
  <c r="P110" i="7" s="1"/>
  <c r="N12" i="9"/>
  <c r="Q12" i="9" s="1"/>
  <c r="M88" i="12"/>
  <c r="P88" i="12" s="1"/>
  <c r="M12" i="5"/>
  <c r="P12" i="5" s="1"/>
  <c r="M191" i="14"/>
  <c r="P191" i="14" s="1"/>
  <c r="M145" i="4"/>
  <c r="P145" i="4" s="1"/>
  <c r="Q180" i="9" l="1"/>
  <c r="S13" i="28"/>
  <c r="S26" i="28"/>
  <c r="S7" i="28"/>
  <c r="S8" i="28"/>
  <c r="S9" i="28"/>
  <c r="S19" i="28"/>
  <c r="S14" i="28"/>
  <c r="S5" i="28" l="1"/>
  <c r="S17" i="28"/>
  <c r="S12" i="28"/>
  <c r="S23" i="28" l="1"/>
  <c r="K25" i="28"/>
  <c r="K24" i="28"/>
  <c r="K23" i="28"/>
  <c r="K22" i="28"/>
  <c r="K21" i="28"/>
  <c r="K20" i="28"/>
  <c r="K19" i="28"/>
  <c r="K18" i="28"/>
  <c r="K17" i="28"/>
  <c r="K16" i="28"/>
  <c r="K14" i="28"/>
  <c r="K13" i="28"/>
  <c r="K12" i="28"/>
  <c r="K11" i="28"/>
  <c r="K10" i="28"/>
  <c r="K9" i="28"/>
  <c r="K8" i="28"/>
  <c r="K7" i="28"/>
  <c r="K5" i="28"/>
  <c r="N26" i="28"/>
  <c r="N24" i="28"/>
  <c r="N21" i="28"/>
  <c r="N19" i="28"/>
  <c r="N18" i="28"/>
  <c r="N17" i="28"/>
  <c r="N16" i="28"/>
  <c r="N11" i="28"/>
  <c r="N10" i="28"/>
  <c r="N9" i="28"/>
  <c r="N8" i="28"/>
  <c r="N7" i="28"/>
  <c r="N5" i="28"/>
  <c r="N6" i="28"/>
  <c r="D27" i="28" l="1"/>
  <c r="C27" i="28"/>
  <c r="E6" i="28"/>
  <c r="L6" i="28" s="1"/>
  <c r="E7" i="28"/>
  <c r="L7" i="28" s="1"/>
  <c r="O7" i="28" s="1"/>
  <c r="E8" i="28"/>
  <c r="L8" i="28" s="1"/>
  <c r="O8" i="28" s="1"/>
  <c r="E9" i="28"/>
  <c r="L9" i="28" s="1"/>
  <c r="O9" i="28" s="1"/>
  <c r="E10" i="28"/>
  <c r="L10" i="28" s="1"/>
  <c r="E11" i="28"/>
  <c r="L11" i="28" s="1"/>
  <c r="O11" i="28" s="1"/>
  <c r="E12" i="28"/>
  <c r="L12" i="28" s="1"/>
  <c r="E13" i="28"/>
  <c r="L13" i="28" s="1"/>
  <c r="E14" i="28"/>
  <c r="L14" i="28" s="1"/>
  <c r="E15" i="28"/>
  <c r="L15" i="28" s="1"/>
  <c r="O15" i="28" s="1"/>
  <c r="E16" i="28"/>
  <c r="L16" i="28" s="1"/>
  <c r="O16" i="28" s="1"/>
  <c r="E17" i="28"/>
  <c r="L17" i="28" s="1"/>
  <c r="O17" i="28" s="1"/>
  <c r="E18" i="28"/>
  <c r="L18" i="28" s="1"/>
  <c r="E19" i="28"/>
  <c r="L19" i="28" s="1"/>
  <c r="O19" i="28" s="1"/>
  <c r="E20" i="28"/>
  <c r="L20" i="28" s="1"/>
  <c r="O20" i="28" s="1"/>
  <c r="E21" i="28"/>
  <c r="L21" i="28" s="1"/>
  <c r="E22" i="28"/>
  <c r="L22" i="28" s="1"/>
  <c r="E23" i="28"/>
  <c r="L23" i="28" s="1"/>
  <c r="E24" i="28"/>
  <c r="L24" i="28" s="1"/>
  <c r="O24" i="28" s="1"/>
  <c r="E25" i="28"/>
  <c r="L25" i="28" s="1"/>
  <c r="E26" i="28"/>
  <c r="L26" i="28" s="1"/>
  <c r="O26" i="28" s="1"/>
  <c r="E5" i="28"/>
  <c r="L5" i="28" s="1"/>
  <c r="F19" i="28" l="1"/>
  <c r="F15" i="28"/>
  <c r="O22" i="28"/>
  <c r="O6" i="28"/>
  <c r="O21" i="28"/>
  <c r="O13" i="28"/>
  <c r="O10" i="28"/>
  <c r="F5" i="28"/>
  <c r="G5" i="28" s="1"/>
  <c r="O18" i="28"/>
  <c r="F23" i="28"/>
  <c r="G23" i="28" s="1"/>
  <c r="O12" i="28"/>
  <c r="O5" i="28"/>
  <c r="O23" i="28"/>
  <c r="F11" i="28"/>
  <c r="O25" i="28"/>
  <c r="O14" i="28"/>
  <c r="F7" i="28"/>
  <c r="G7" i="28" s="1"/>
  <c r="F25" i="28"/>
  <c r="G25" i="28" s="1"/>
  <c r="F21" i="28"/>
  <c r="G21" i="28" s="1"/>
  <c r="F17" i="28"/>
  <c r="G17" i="28" s="1"/>
  <c r="F13" i="28"/>
  <c r="G13" i="28" s="1"/>
  <c r="F9" i="28"/>
  <c r="E27" i="28"/>
  <c r="F24" i="28"/>
  <c r="G24" i="28" s="1"/>
  <c r="F20" i="28"/>
  <c r="G20" i="28" s="1"/>
  <c r="F16" i="28"/>
  <c r="G16" i="28" s="1"/>
  <c r="F12" i="28"/>
  <c r="G12" i="28" s="1"/>
  <c r="F8" i="28"/>
  <c r="G8" i="28" s="1"/>
  <c r="F26" i="28"/>
  <c r="G26" i="28" s="1"/>
  <c r="F22" i="28"/>
  <c r="G22" i="28" s="1"/>
  <c r="F18" i="28"/>
  <c r="G18" i="28" s="1"/>
  <c r="F14" i="28"/>
  <c r="G14" i="28" s="1"/>
  <c r="F10" i="28"/>
  <c r="G10" i="28" s="1"/>
  <c r="F6" i="28"/>
  <c r="G9" i="28"/>
  <c r="G19" i="28" l="1"/>
  <c r="G15" i="28"/>
  <c r="G11" i="28"/>
  <c r="F27" i="28"/>
  <c r="G6" i="28"/>
  <c r="G27" i="28" l="1"/>
  <c r="AC5" i="26"/>
  <c r="D10" i="27" s="1"/>
  <c r="AC6" i="26"/>
  <c r="D11" i="27" s="1"/>
  <c r="AC7" i="26"/>
  <c r="D12" i="27" s="1"/>
  <c r="AC8" i="26"/>
  <c r="D15" i="27" s="1"/>
  <c r="AC9" i="26"/>
  <c r="D16" i="27" s="1"/>
  <c r="AC10" i="26"/>
  <c r="AC11" i="26"/>
  <c r="D18" i="27" s="1"/>
  <c r="AC12" i="26"/>
  <c r="D19" i="27" s="1"/>
  <c r="AC13" i="26"/>
  <c r="D20" i="27" s="1"/>
  <c r="AC14" i="26"/>
  <c r="AC15" i="26"/>
  <c r="D22" i="27" s="1"/>
  <c r="AC16" i="26"/>
  <c r="D23" i="27" s="1"/>
  <c r="AC17" i="26"/>
  <c r="AC18" i="26"/>
  <c r="D26" i="27" s="1"/>
  <c r="AC19" i="26"/>
  <c r="D27" i="27" s="1"/>
  <c r="AC20" i="26"/>
  <c r="D28" i="27" s="1"/>
  <c r="AC21" i="26"/>
  <c r="D29" i="27" s="1"/>
  <c r="AC22" i="26"/>
  <c r="D30" i="27" s="1"/>
  <c r="AC23" i="26"/>
  <c r="D14" i="27" s="1"/>
  <c r="AC24" i="26"/>
  <c r="D31" i="27" s="1"/>
  <c r="AC25" i="26"/>
  <c r="D8" i="27" s="1"/>
  <c r="D9" i="27"/>
  <c r="D26" i="26"/>
  <c r="E26" i="26"/>
  <c r="F26" i="26"/>
  <c r="G26" i="26"/>
  <c r="H26" i="26"/>
  <c r="J26" i="26"/>
  <c r="K26" i="26"/>
  <c r="L26" i="26"/>
  <c r="N26" i="26"/>
  <c r="P26" i="26"/>
  <c r="R26" i="26"/>
  <c r="T26" i="26"/>
  <c r="V26" i="26"/>
  <c r="X26" i="26"/>
  <c r="Z26" i="26"/>
  <c r="M26" i="26" l="1"/>
  <c r="AC26" i="26"/>
  <c r="H13" i="28" l="1"/>
  <c r="I13" i="28" s="1"/>
  <c r="I129" i="15"/>
  <c r="M13" i="28" l="1"/>
  <c r="P13" i="28" s="1"/>
  <c r="D33" i="27"/>
  <c r="H8" i="28" l="1"/>
  <c r="M8" i="28" s="1"/>
  <c r="P8" i="28" s="1"/>
  <c r="I8" i="28" l="1"/>
  <c r="I111" i="19"/>
  <c r="J12" i="11"/>
  <c r="J13" i="11" s="1"/>
  <c r="J14" i="11" s="1"/>
  <c r="J16" i="11" s="1"/>
  <c r="J14" i="20" l="1"/>
  <c r="J15" i="20" s="1"/>
  <c r="J16" i="20" s="1"/>
  <c r="J17" i="20" s="1"/>
  <c r="J19" i="20" s="1"/>
  <c r="J20" i="20" s="1"/>
  <c r="J21" i="20" s="1"/>
  <c r="J22" i="20" s="1"/>
  <c r="J23" i="20" s="1"/>
  <c r="J24" i="20" s="1"/>
  <c r="J25" i="20" s="1"/>
  <c r="J27" i="20" s="1"/>
  <c r="J28" i="20" s="1"/>
  <c r="J29" i="20" s="1"/>
  <c r="J30" i="20" s="1"/>
  <c r="J32" i="20" s="1"/>
  <c r="J33" i="20" s="1"/>
  <c r="J34" i="20" s="1"/>
  <c r="J36" i="20" s="1"/>
  <c r="J37" i="20" s="1"/>
  <c r="J38" i="20" s="1"/>
  <c r="J39" i="20" s="1"/>
  <c r="J40" i="20" s="1"/>
  <c r="J42" i="20" s="1"/>
  <c r="J43" i="20" s="1"/>
  <c r="J44" i="20" s="1"/>
  <c r="J45" i="20" s="1"/>
  <c r="J46" i="20" s="1"/>
  <c r="J17" i="11"/>
  <c r="J18" i="11" s="1"/>
  <c r="J19" i="11" s="1"/>
  <c r="J20" i="11" s="1"/>
  <c r="J14" i="21"/>
  <c r="H23" i="28"/>
  <c r="I23" i="28" s="1"/>
  <c r="I117" i="19"/>
  <c r="J30" i="2"/>
  <c r="J32" i="2" s="1"/>
  <c r="J22" i="11" l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7" i="11" s="1"/>
  <c r="J16" i="5"/>
  <c r="J17" i="5" s="1"/>
  <c r="J18" i="5" s="1"/>
  <c r="J17" i="21"/>
  <c r="J18" i="21" s="1"/>
  <c r="M23" i="28"/>
  <c r="P23" i="28" s="1"/>
  <c r="J20" i="5" l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5" i="5" s="1"/>
  <c r="J38" i="1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33" i="2"/>
  <c r="J34" i="2" s="1"/>
  <c r="J35" i="2" s="1"/>
  <c r="J36" i="2" s="1"/>
  <c r="J37" i="2" s="1"/>
  <c r="J38" i="2" s="1"/>
  <c r="J40" i="2" s="1"/>
  <c r="J19" i="21"/>
  <c r="J20" i="21" s="1"/>
  <c r="J22" i="21" s="1"/>
  <c r="J23" i="21" s="1"/>
  <c r="J24" i="21" s="1"/>
  <c r="J25" i="21" s="1"/>
  <c r="J41" i="2" l="1"/>
  <c r="J42" i="2" s="1"/>
  <c r="J43" i="2" s="1"/>
  <c r="J44" i="2" s="1"/>
  <c r="J45" i="2" s="1"/>
  <c r="J47" i="2" s="1"/>
  <c r="J27" i="21"/>
  <c r="J28" i="21" s="1"/>
  <c r="Y26" i="26"/>
  <c r="J48" i="2" l="1"/>
  <c r="J49" i="2" s="1"/>
  <c r="J50" i="2" s="1"/>
  <c r="J51" i="2" s="1"/>
  <c r="J52" i="2" s="1"/>
  <c r="J54" i="2" s="1"/>
  <c r="J36" i="14"/>
  <c r="J37" i="14" s="1"/>
  <c r="J38" i="14" s="1"/>
  <c r="J39" i="14" s="1"/>
  <c r="J40" i="14" s="1"/>
  <c r="J41" i="14" s="1"/>
  <c r="J42" i="14" s="1"/>
  <c r="J43" i="14" s="1"/>
  <c r="J44" i="14" s="1"/>
  <c r="J45" i="14" s="1"/>
  <c r="J48" i="14" s="1"/>
  <c r="J36" i="5" l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9" i="5" s="1"/>
  <c r="J55" i="2"/>
  <c r="J56" i="2" s="1"/>
  <c r="J57" i="2" s="1"/>
  <c r="J58" i="2" s="1"/>
  <c r="J59" i="2" s="1"/>
  <c r="J61" i="2" s="1"/>
  <c r="J62" i="2" s="1"/>
  <c r="J63" i="2" s="1"/>
  <c r="J64" i="2" s="1"/>
  <c r="J65" i="2" s="1"/>
  <c r="J66" i="2" s="1"/>
  <c r="J67" i="2" s="1"/>
  <c r="J68" i="2" s="1"/>
  <c r="J70" i="2" s="1"/>
  <c r="J71" i="2" s="1"/>
  <c r="J72" i="2" s="1"/>
  <c r="J73" i="2" s="1"/>
  <c r="J74" i="2" s="1"/>
  <c r="J75" i="2" s="1"/>
  <c r="J76" i="2" s="1"/>
  <c r="J77" i="2" s="1"/>
  <c r="J78" i="2" s="1"/>
  <c r="U26" i="26"/>
  <c r="J53" i="11" l="1"/>
  <c r="J54" i="11" s="1"/>
  <c r="J55" i="11" s="1"/>
  <c r="J56" i="11" s="1"/>
  <c r="J57" i="11" s="1"/>
  <c r="J58" i="11" s="1"/>
  <c r="J59" i="11" s="1"/>
  <c r="J60" i="11" s="1"/>
  <c r="J62" i="11" s="1"/>
  <c r="J63" i="11" s="1"/>
  <c r="J50" i="5"/>
  <c r="J51" i="5" s="1"/>
  <c r="J52" i="5" s="1"/>
  <c r="J53" i="5" s="1"/>
  <c r="J54" i="5" s="1"/>
  <c r="J55" i="5" s="1"/>
  <c r="J56" i="5" s="1"/>
  <c r="J57" i="5" s="1"/>
  <c r="J49" i="14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3" i="14" s="1"/>
  <c r="J80" i="2"/>
  <c r="J81" i="2" s="1"/>
  <c r="S26" i="26"/>
  <c r="C31" i="27"/>
  <c r="C29" i="27"/>
  <c r="C28" i="27"/>
  <c r="C26" i="27"/>
  <c r="C20" i="27"/>
  <c r="C12" i="27"/>
  <c r="C10" i="27"/>
  <c r="C8" i="27"/>
  <c r="J64" i="11" l="1"/>
  <c r="J65" i="11" s="1"/>
  <c r="J67" i="11" s="1"/>
  <c r="J59" i="5"/>
  <c r="J60" i="5" s="1"/>
  <c r="J61" i="5" s="1"/>
  <c r="J62" i="5" s="1"/>
  <c r="J63" i="5" s="1"/>
  <c r="J64" i="5" s="1"/>
  <c r="J65" i="5" s="1"/>
  <c r="J66" i="5" s="1"/>
  <c r="J67" i="5" s="1"/>
  <c r="J68" i="5" s="1"/>
  <c r="J70" i="5" s="1"/>
  <c r="J71" i="5" s="1"/>
  <c r="J82" i="2"/>
  <c r="J83" i="2" s="1"/>
  <c r="J84" i="2" s="1"/>
  <c r="J85" i="2" s="1"/>
  <c r="J86" i="2" s="1"/>
  <c r="Q26" i="26"/>
  <c r="J100" i="17"/>
  <c r="J72" i="5" l="1"/>
  <c r="J73" i="5" s="1"/>
  <c r="J74" i="5" s="1"/>
  <c r="J75" i="5" s="1"/>
  <c r="J76" i="5" s="1"/>
  <c r="J77" i="5" s="1"/>
  <c r="J78" i="5" s="1"/>
  <c r="J79" i="5" s="1"/>
  <c r="J80" i="5" s="1"/>
  <c r="J81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8" i="5" s="1"/>
  <c r="J99" i="5" s="1"/>
  <c r="J100" i="5" s="1"/>
  <c r="J101" i="5" s="1"/>
  <c r="J102" i="5" s="1"/>
  <c r="J103" i="5" s="1"/>
  <c r="J104" i="5" s="1"/>
  <c r="J107" i="5" s="1"/>
  <c r="J87" i="2"/>
  <c r="J89" i="2" s="1"/>
  <c r="J90" i="2" s="1"/>
  <c r="J91" i="2" s="1"/>
  <c r="J92" i="2" s="1"/>
  <c r="J93" i="2" s="1"/>
  <c r="J94" i="2" s="1"/>
  <c r="H15" i="28"/>
  <c r="M15" i="28" s="1"/>
  <c r="P15" i="28" s="1"/>
  <c r="I106" i="17"/>
  <c r="I105" i="1"/>
  <c r="J64" i="14" l="1"/>
  <c r="J65" i="14" s="1"/>
  <c r="J66" i="14" s="1"/>
  <c r="J67" i="14" s="1"/>
  <c r="J68" i="14" s="1"/>
  <c r="J69" i="14" s="1"/>
  <c r="J70" i="14" s="1"/>
  <c r="J71" i="14" s="1"/>
  <c r="J73" i="14" s="1"/>
  <c r="J71" i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4" i="1" s="1"/>
  <c r="I15" i="28"/>
  <c r="H9" i="28"/>
  <c r="M9" i="28" s="1"/>
  <c r="P9" i="28" s="1"/>
  <c r="I145" i="5"/>
  <c r="J145" i="5" s="1"/>
  <c r="I9" i="28" l="1"/>
  <c r="H10" i="28"/>
  <c r="I10" i="28" s="1"/>
  <c r="I151" i="5"/>
  <c r="J85" i="1"/>
  <c r="J86" i="1" s="1"/>
  <c r="J87" i="1" s="1"/>
  <c r="J88" i="1" s="1"/>
  <c r="J89" i="1" s="1"/>
  <c r="J90" i="1" s="1"/>
  <c r="J91" i="1" s="1"/>
  <c r="C30" i="27"/>
  <c r="C19" i="27"/>
  <c r="C11" i="27"/>
  <c r="C18" i="27"/>
  <c r="C16" i="27"/>
  <c r="C9" i="27"/>
  <c r="C22" i="27"/>
  <c r="C15" i="27"/>
  <c r="J93" i="1" l="1"/>
  <c r="J94" i="1" s="1"/>
  <c r="J95" i="1" s="1"/>
  <c r="J96" i="1" s="1"/>
  <c r="J97" i="1" s="1"/>
  <c r="J98" i="1" s="1"/>
  <c r="J99" i="1" s="1"/>
  <c r="M10" i="28"/>
  <c r="P10" i="28" s="1"/>
  <c r="O26" i="26"/>
  <c r="C23" i="27" l="1"/>
  <c r="H14" i="28" l="1"/>
  <c r="I14" i="28" s="1"/>
  <c r="I98" i="16"/>
  <c r="M14" i="28" l="1"/>
  <c r="P14" i="28" s="1"/>
  <c r="H12" i="28" l="1"/>
  <c r="I12" i="28" s="1"/>
  <c r="I119" i="8"/>
  <c r="M12" i="28" l="1"/>
  <c r="P12" i="28" s="1"/>
  <c r="H5" i="28" l="1"/>
  <c r="I5" i="28" s="1"/>
  <c r="I150" i="4"/>
  <c r="J150" i="4" s="1"/>
  <c r="M5" i="28" l="1"/>
  <c r="P5" i="28" s="1"/>
  <c r="I114" i="6"/>
  <c r="J114" i="6" s="1"/>
  <c r="H11" i="28" l="1"/>
  <c r="M11" i="28" s="1"/>
  <c r="P11" i="28" s="1"/>
  <c r="I118" i="6"/>
  <c r="I11" i="28" l="1"/>
  <c r="J12" i="10" l="1"/>
  <c r="J13" i="10" s="1"/>
  <c r="J14" i="10" s="1"/>
  <c r="J15" i="10" s="1"/>
  <c r="J16" i="10" s="1"/>
  <c r="J17" i="10" s="1"/>
  <c r="J19" i="10" l="1"/>
  <c r="J20" i="10" s="1"/>
  <c r="J21" i="10" s="1"/>
  <c r="J23" i="10" s="1"/>
  <c r="J12" i="4"/>
  <c r="J13" i="4" l="1"/>
  <c r="J14" i="4" l="1"/>
  <c r="J12" i="3"/>
  <c r="J14" i="3" s="1"/>
  <c r="J15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18" i="18"/>
  <c r="J19" i="18" s="1"/>
  <c r="J20" i="18" s="1"/>
  <c r="J22" i="18" s="1"/>
  <c r="J23" i="18" s="1"/>
  <c r="J25" i="18" s="1"/>
  <c r="J26" i="18" s="1"/>
  <c r="J28" i="18" s="1"/>
  <c r="J29" i="18" s="1"/>
  <c r="J30" i="18" s="1"/>
  <c r="J31" i="18" s="1"/>
  <c r="J33" i="18" s="1"/>
  <c r="J34" i="18" s="1"/>
  <c r="J35" i="18" s="1"/>
  <c r="J13" i="12"/>
  <c r="J15" i="12" s="1"/>
  <c r="J16" i="12" s="1"/>
  <c r="J21" i="12" s="1"/>
  <c r="J22" i="12" s="1"/>
  <c r="J33" i="12" s="1"/>
  <c r="J34" i="12" s="1"/>
  <c r="J12" i="7"/>
  <c r="J74" i="14" l="1"/>
  <c r="J75" i="14" s="1"/>
  <c r="J76" i="14" s="1"/>
  <c r="J77" i="14" s="1"/>
  <c r="J78" i="14" s="1"/>
  <c r="J79" i="14" s="1"/>
  <c r="J15" i="4"/>
  <c r="J16" i="4" s="1"/>
  <c r="J38" i="12"/>
  <c r="J39" i="12" s="1"/>
  <c r="J36" i="18"/>
  <c r="J37" i="18" s="1"/>
  <c r="J38" i="18" s="1"/>
  <c r="J39" i="18" s="1"/>
  <c r="J41" i="18" s="1"/>
  <c r="J42" i="18" s="1"/>
  <c r="J43" i="18" s="1"/>
  <c r="J45" i="18" s="1"/>
  <c r="J46" i="18" s="1"/>
  <c r="J47" i="18" s="1"/>
  <c r="J48" i="18" s="1"/>
  <c r="J52" i="18" s="1"/>
  <c r="J53" i="18" s="1"/>
  <c r="J54" i="18" s="1"/>
  <c r="J55" i="18" s="1"/>
  <c r="J56" i="18" s="1"/>
  <c r="J57" i="18" s="1"/>
  <c r="J59" i="18" s="1"/>
  <c r="J28" i="3"/>
  <c r="J29" i="21"/>
  <c r="J30" i="21" s="1"/>
  <c r="J31" i="21" s="1"/>
  <c r="J33" i="21" s="1"/>
  <c r="J14" i="7"/>
  <c r="J15" i="7" s="1"/>
  <c r="J17" i="7" s="1"/>
  <c r="J13" i="16"/>
  <c r="J14" i="16" s="1"/>
  <c r="J16" i="16" s="1"/>
  <c r="C26" i="26"/>
  <c r="I95" i="20"/>
  <c r="I110" i="7"/>
  <c r="J110" i="7" s="1"/>
  <c r="I105" i="10"/>
  <c r="J105" i="10" s="1"/>
  <c r="I88" i="12"/>
  <c r="J88" i="12" s="1"/>
  <c r="I103" i="13"/>
  <c r="I77" i="18"/>
  <c r="J77" i="18" s="1"/>
  <c r="I104" i="3"/>
  <c r="I95" i="2"/>
  <c r="J95" i="2" s="1"/>
  <c r="I76" i="21"/>
  <c r="I81" i="21" s="1"/>
  <c r="J17" i="4" l="1"/>
  <c r="J19" i="4" s="1"/>
  <c r="J20" i="4" s="1"/>
  <c r="J21" i="4" s="1"/>
  <c r="J22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8" i="4" s="1"/>
  <c r="J29" i="3"/>
  <c r="J30" i="3" s="1"/>
  <c r="J31" i="3" s="1"/>
  <c r="J32" i="3" s="1"/>
  <c r="J33" i="3" s="1"/>
  <c r="J34" i="3" s="1"/>
  <c r="J35" i="3" s="1"/>
  <c r="J36" i="3" s="1"/>
  <c r="J37" i="3" s="1"/>
  <c r="J39" i="3" s="1"/>
  <c r="J34" i="21"/>
  <c r="J35" i="21" s="1"/>
  <c r="J36" i="21" s="1"/>
  <c r="J38" i="21" s="1"/>
  <c r="J18" i="7"/>
  <c r="J19" i="7" s="1"/>
  <c r="J20" i="7" s="1"/>
  <c r="J21" i="7" s="1"/>
  <c r="J22" i="7" s="1"/>
  <c r="J23" i="7" s="1"/>
  <c r="J24" i="7" s="1"/>
  <c r="J25" i="7" s="1"/>
  <c r="J26" i="7" s="1"/>
  <c r="J27" i="7" s="1"/>
  <c r="J29" i="7" s="1"/>
  <c r="H20" i="28"/>
  <c r="I20" i="28" s="1"/>
  <c r="I94" i="12"/>
  <c r="H24" i="28"/>
  <c r="I24" i="28" s="1"/>
  <c r="I101" i="20"/>
  <c r="H19" i="28"/>
  <c r="I19" i="28" s="1"/>
  <c r="I110" i="10"/>
  <c r="H18" i="28"/>
  <c r="M18" i="28" s="1"/>
  <c r="P18" i="28" s="1"/>
  <c r="I116" i="7"/>
  <c r="H6" i="28"/>
  <c r="M6" i="28" s="1"/>
  <c r="P6" i="28" s="1"/>
  <c r="I183" i="9"/>
  <c r="H21" i="28"/>
  <c r="M21" i="28" s="1"/>
  <c r="P21" i="28" s="1"/>
  <c r="I107" i="13"/>
  <c r="H25" i="28"/>
  <c r="I25" i="28" s="1"/>
  <c r="H7" i="28"/>
  <c r="I7" i="28" s="1"/>
  <c r="I141" i="11"/>
  <c r="H26" i="28"/>
  <c r="I26" i="28" s="1"/>
  <c r="I300" i="22"/>
  <c r="H22" i="28"/>
  <c r="I22" i="28" s="1"/>
  <c r="I83" i="18"/>
  <c r="H17" i="28"/>
  <c r="I17" i="28" s="1"/>
  <c r="I110" i="3"/>
  <c r="H16" i="28"/>
  <c r="M16" i="28" s="1"/>
  <c r="P16" i="28" s="1"/>
  <c r="I101" i="2"/>
  <c r="J39" i="4" l="1"/>
  <c r="J40" i="4" s="1"/>
  <c r="J41" i="4" s="1"/>
  <c r="J42" i="4" s="1"/>
  <c r="J43" i="4" s="1"/>
  <c r="J44" i="4" s="1"/>
  <c r="J45" i="4" s="1"/>
  <c r="J46" i="4" s="1"/>
  <c r="J47" i="4" s="1"/>
  <c r="J49" i="4" s="1"/>
  <c r="J39" i="21"/>
  <c r="J41" i="21" s="1"/>
  <c r="J42" i="21" s="1"/>
  <c r="J40" i="3"/>
  <c r="J41" i="3" s="1"/>
  <c r="J42" i="3" s="1"/>
  <c r="J43" i="3" s="1"/>
  <c r="J44" i="3" s="1"/>
  <c r="J45" i="3" s="1"/>
  <c r="J46" i="3" s="1"/>
  <c r="J30" i="7"/>
  <c r="J31" i="7" s="1"/>
  <c r="J32" i="7" s="1"/>
  <c r="M22" i="28"/>
  <c r="P22" i="28" s="1"/>
  <c r="M20" i="28"/>
  <c r="P20" i="28" s="1"/>
  <c r="I18" i="28"/>
  <c r="M19" i="28"/>
  <c r="P19" i="28" s="1"/>
  <c r="M24" i="28"/>
  <c r="P24" i="28" s="1"/>
  <c r="M17" i="28"/>
  <c r="P17" i="28" s="1"/>
  <c r="I6" i="28"/>
  <c r="I21" i="28"/>
  <c r="M25" i="28"/>
  <c r="P25" i="28" s="1"/>
  <c r="M7" i="28"/>
  <c r="P7" i="28" s="1"/>
  <c r="M26" i="28"/>
  <c r="P26" i="28" s="1"/>
  <c r="H27" i="28"/>
  <c r="I16" i="28"/>
  <c r="J17" i="16"/>
  <c r="J18" i="16" s="1"/>
  <c r="J19" i="16" s="1"/>
  <c r="J81" i="14"/>
  <c r="J82" i="14" l="1"/>
  <c r="J83" i="14" s="1"/>
  <c r="J84" i="14" s="1"/>
  <c r="J85" i="14" s="1"/>
  <c r="J86" i="14" s="1"/>
  <c r="J87" i="14" s="1"/>
  <c r="J88" i="14" s="1"/>
  <c r="J89" i="14" s="1"/>
  <c r="J90" i="14" s="1"/>
  <c r="J91" i="14" s="1"/>
  <c r="J50" i="4"/>
  <c r="J51" i="4" s="1"/>
  <c r="J52" i="4" s="1"/>
  <c r="J46" i="12"/>
  <c r="J51" i="12" s="1"/>
  <c r="J33" i="7"/>
  <c r="J34" i="7" s="1"/>
  <c r="J35" i="7" s="1"/>
  <c r="J36" i="7" s="1"/>
  <c r="J21" i="16"/>
  <c r="J22" i="16" s="1"/>
  <c r="J23" i="16" s="1"/>
  <c r="J24" i="16" s="1"/>
  <c r="J25" i="16" s="1"/>
  <c r="J48" i="3"/>
  <c r="J49" i="3" s="1"/>
  <c r="J50" i="3" s="1"/>
  <c r="J51" i="3" s="1"/>
  <c r="J43" i="21"/>
  <c r="J44" i="21" s="1"/>
  <c r="J45" i="21" s="1"/>
  <c r="J47" i="21" s="1"/>
  <c r="J48" i="21" s="1"/>
  <c r="J49" i="21" s="1"/>
  <c r="J50" i="21" s="1"/>
  <c r="I27" i="28"/>
  <c r="H245" i="25"/>
  <c r="J53" i="4" l="1"/>
  <c r="J54" i="4" s="1"/>
  <c r="J55" i="4" s="1"/>
  <c r="J56" i="4" s="1"/>
  <c r="J57" i="4" s="1"/>
  <c r="J58" i="4" s="1"/>
  <c r="J59" i="4" s="1"/>
  <c r="J61" i="4" s="1"/>
  <c r="J38" i="7"/>
  <c r="J39" i="7" s="1"/>
  <c r="J40" i="7" s="1"/>
  <c r="J41" i="7" s="1"/>
  <c r="J43" i="7" s="1"/>
  <c r="J27" i="16"/>
  <c r="J28" i="16" s="1"/>
  <c r="J29" i="16" s="1"/>
  <c r="J30" i="16" s="1"/>
  <c r="J32" i="16" s="1"/>
  <c r="J54" i="21"/>
  <c r="J55" i="21" s="1"/>
  <c r="J56" i="21" s="1"/>
  <c r="J57" i="21" s="1"/>
  <c r="J58" i="21" s="1"/>
  <c r="J59" i="21" s="1"/>
  <c r="J60" i="21" s="1"/>
  <c r="J62" i="21" s="1"/>
  <c r="J52" i="12"/>
  <c r="J53" i="12" s="1"/>
  <c r="J54" i="12" s="1"/>
  <c r="J55" i="12" s="1"/>
  <c r="J57" i="12" s="1"/>
  <c r="J57" i="15" l="1"/>
  <c r="J58" i="15" s="1"/>
  <c r="J59" i="15" s="1"/>
  <c r="J62" i="4"/>
  <c r="J63" i="4" s="1"/>
  <c r="J64" i="4" s="1"/>
  <c r="J65" i="4" s="1"/>
  <c r="J66" i="4" s="1"/>
  <c r="J67" i="4" s="1"/>
  <c r="J68" i="4" s="1"/>
  <c r="J69" i="4" s="1"/>
  <c r="J70" i="4" s="1"/>
  <c r="J72" i="4" s="1"/>
  <c r="J73" i="4" s="1"/>
  <c r="J74" i="4" s="1"/>
  <c r="J75" i="4" s="1"/>
  <c r="J76" i="4" s="1"/>
  <c r="J77" i="4" s="1"/>
  <c r="J80" i="4" s="1"/>
  <c r="J81" i="4" s="1"/>
  <c r="J82" i="4" s="1"/>
  <c r="J83" i="4" s="1"/>
  <c r="J84" i="4" s="1"/>
  <c r="J85" i="4" s="1"/>
  <c r="J86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2" i="4" s="1"/>
  <c r="J103" i="4" s="1"/>
  <c r="J104" i="4" s="1"/>
  <c r="J33" i="16"/>
  <c r="J34" i="16" s="1"/>
  <c r="J35" i="16" s="1"/>
  <c r="J37" i="16" s="1"/>
  <c r="J93" i="14"/>
  <c r="J94" i="14" s="1"/>
  <c r="J44" i="7"/>
  <c r="J45" i="7" s="1"/>
  <c r="J46" i="7" s="1"/>
  <c r="J47" i="7" s="1"/>
  <c r="J48" i="7" s="1"/>
  <c r="J49" i="7" s="1"/>
  <c r="J50" i="7" s="1"/>
  <c r="J52" i="7" s="1"/>
  <c r="J63" i="21"/>
  <c r="J64" i="21" s="1"/>
  <c r="J65" i="21" s="1"/>
  <c r="J66" i="21" s="1"/>
  <c r="J67" i="21" s="1"/>
  <c r="J68" i="21" s="1"/>
  <c r="J70" i="21" s="1"/>
  <c r="J38" i="16" l="1"/>
  <c r="J39" i="16" s="1"/>
  <c r="J40" i="16" s="1"/>
  <c r="J95" i="14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J106" i="14" s="1"/>
  <c r="J53" i="7"/>
  <c r="J54" i="7" s="1"/>
  <c r="J55" i="7" s="1"/>
  <c r="J56" i="7" s="1"/>
  <c r="J57" i="7" s="1"/>
  <c r="J58" i="7" s="1"/>
  <c r="J59" i="7" s="1"/>
  <c r="J61" i="7" s="1"/>
  <c r="J60" i="15"/>
  <c r="J61" i="15" s="1"/>
  <c r="J62" i="15" s="1"/>
  <c r="J63" i="15" s="1"/>
  <c r="J64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8" i="15" s="1"/>
  <c r="J53" i="3"/>
  <c r="J54" i="3" s="1"/>
  <c r="J55" i="3" s="1"/>
  <c r="J58" i="12"/>
  <c r="J59" i="12" s="1"/>
  <c r="J60" i="12" s="1"/>
  <c r="J61" i="12" s="1"/>
  <c r="J62" i="12" s="1"/>
  <c r="J113" i="14" l="1"/>
  <c r="J42" i="16"/>
  <c r="J56" i="3"/>
  <c r="J57" i="3" s="1"/>
  <c r="J64" i="12"/>
  <c r="J65" i="12" s="1"/>
  <c r="J66" i="12" s="1"/>
  <c r="J67" i="12" s="1"/>
  <c r="J68" i="12" s="1"/>
  <c r="J69" i="12" s="1"/>
  <c r="J70" i="12" s="1"/>
  <c r="J72" i="12" s="1"/>
  <c r="J73" i="12" s="1"/>
  <c r="J74" i="12" s="1"/>
  <c r="J75" i="12" s="1"/>
  <c r="J76" i="12" s="1"/>
  <c r="J77" i="12" s="1"/>
  <c r="J105" i="4"/>
  <c r="J106" i="4" s="1"/>
  <c r="J107" i="4" s="1"/>
  <c r="J71" i="21"/>
  <c r="J72" i="21" s="1"/>
  <c r="J73" i="21" s="1"/>
  <c r="J74" i="21" s="1"/>
  <c r="J75" i="21" s="1"/>
  <c r="J68" i="1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62" i="7"/>
  <c r="J63" i="7" l="1"/>
  <c r="J64" i="7" s="1"/>
  <c r="J65" i="7" s="1"/>
  <c r="J66" i="7" s="1"/>
  <c r="J68" i="7" s="1"/>
  <c r="J69" i="7" s="1"/>
  <c r="J70" i="7" s="1"/>
  <c r="J71" i="7" s="1"/>
  <c r="J72" i="7" s="1"/>
  <c r="J75" i="7" s="1"/>
  <c r="J114" i="14"/>
  <c r="J115" i="14" s="1"/>
  <c r="J116" i="14" s="1"/>
  <c r="J117" i="14" s="1"/>
  <c r="J118" i="14" s="1"/>
  <c r="J119" i="14" s="1"/>
  <c r="J120" i="14" s="1"/>
  <c r="J121" i="14" s="1"/>
  <c r="J122" i="14" s="1"/>
  <c r="J123" i="14" s="1"/>
  <c r="J124" i="14" s="1"/>
  <c r="J125" i="14" s="1"/>
  <c r="J126" i="14" s="1"/>
  <c r="J127" i="14" s="1"/>
  <c r="J128" i="14" s="1"/>
  <c r="J129" i="14" s="1"/>
  <c r="J130" i="14" s="1"/>
  <c r="J131" i="14" s="1"/>
  <c r="J132" i="14" s="1"/>
  <c r="J133" i="14" s="1"/>
  <c r="J134" i="14" s="1"/>
  <c r="J135" i="14" s="1"/>
  <c r="J136" i="14" s="1"/>
  <c r="J137" i="14" s="1"/>
  <c r="J138" i="14" s="1"/>
  <c r="J139" i="14" s="1"/>
  <c r="J140" i="14" s="1"/>
  <c r="J108" i="4"/>
  <c r="J109" i="4" s="1"/>
  <c r="J56" i="19"/>
  <c r="J57" i="19" s="1"/>
  <c r="J108" i="5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3" i="5" s="1"/>
  <c r="J79" i="15"/>
  <c r="J58" i="19" l="1"/>
  <c r="J59" i="19" s="1"/>
  <c r="J60" i="19" s="1"/>
  <c r="J61" i="19" s="1"/>
  <c r="J62" i="19" s="1"/>
  <c r="J63" i="19" s="1"/>
  <c r="J65" i="19" s="1"/>
  <c r="J67" i="19" s="1"/>
  <c r="J110" i="4"/>
  <c r="J77" i="6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9" i="6" s="1"/>
  <c r="J48" i="20"/>
  <c r="J49" i="20" s="1"/>
  <c r="J50" i="20" s="1"/>
  <c r="J51" i="20" s="1"/>
  <c r="J52" i="20" s="1"/>
  <c r="J54" i="20" s="1"/>
  <c r="J59" i="3"/>
  <c r="J60" i="3" s="1"/>
  <c r="J61" i="3" s="1"/>
  <c r="J62" i="3" s="1"/>
  <c r="J63" i="3" s="1"/>
  <c r="J64" i="3" s="1"/>
  <c r="J65" i="3" s="1"/>
  <c r="J67" i="3" s="1"/>
  <c r="J68" i="3" s="1"/>
  <c r="J69" i="3" s="1"/>
  <c r="J70" i="3" s="1"/>
  <c r="J74" i="3" s="1"/>
  <c r="J75" i="3" s="1"/>
  <c r="J37" i="13"/>
  <c r="J38" i="13" s="1"/>
  <c r="J39" i="13" s="1"/>
  <c r="J40" i="13" s="1"/>
  <c r="J80" i="1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80" i="15"/>
  <c r="J76" i="7"/>
  <c r="J77" i="7" s="1"/>
  <c r="J78" i="7" s="1"/>
  <c r="J68" i="19" l="1"/>
  <c r="J69" i="19" s="1"/>
  <c r="J70" i="19" s="1"/>
  <c r="J71" i="19" s="1"/>
  <c r="J72" i="19" s="1"/>
  <c r="J73" i="19" s="1"/>
  <c r="J74" i="19" s="1"/>
  <c r="J75" i="19" s="1"/>
  <c r="J77" i="19" s="1"/>
  <c r="J78" i="19" s="1"/>
  <c r="J79" i="19" s="1"/>
  <c r="J80" i="19" s="1"/>
  <c r="J81" i="19" s="1"/>
  <c r="J82" i="19" s="1"/>
  <c r="J83" i="19" s="1"/>
  <c r="J84" i="19" s="1"/>
  <c r="J85" i="19" s="1"/>
  <c r="J86" i="19" s="1"/>
  <c r="J87" i="19" s="1"/>
  <c r="J79" i="7"/>
  <c r="J80" i="7" s="1"/>
  <c r="J81" i="7" s="1"/>
  <c r="J82" i="7" s="1"/>
  <c r="J83" i="7" s="1"/>
  <c r="J84" i="7" s="1"/>
  <c r="J85" i="7" s="1"/>
  <c r="J86" i="7" s="1"/>
  <c r="J88" i="7" s="1"/>
  <c r="J89" i="7" s="1"/>
  <c r="J90" i="7" s="1"/>
  <c r="J60" i="18"/>
  <c r="J111" i="4"/>
  <c r="J42" i="13"/>
  <c r="J43" i="13" s="1"/>
  <c r="J44" i="13" s="1"/>
  <c r="J45" i="13" s="1"/>
  <c r="J47" i="13" s="1"/>
  <c r="J81" i="15"/>
  <c r="J82" i="15" s="1"/>
  <c r="J83" i="15" s="1"/>
  <c r="J84" i="15" s="1"/>
  <c r="J85" i="15" s="1"/>
  <c r="J86" i="15" s="1"/>
  <c r="J87" i="15" s="1"/>
  <c r="J90" i="15" s="1"/>
  <c r="J55" i="20"/>
  <c r="J56" i="20" s="1"/>
  <c r="J57" i="20" s="1"/>
  <c r="J58" i="20" s="1"/>
  <c r="J59" i="20" s="1"/>
  <c r="J60" i="20" s="1"/>
  <c r="J63" i="20" s="1"/>
  <c r="J43" i="16"/>
  <c r="J44" i="16" s="1"/>
  <c r="J45" i="16" s="1"/>
  <c r="J112" i="4" l="1"/>
  <c r="J113" i="4" s="1"/>
  <c r="J114" i="4" s="1"/>
  <c r="J115" i="4" s="1"/>
  <c r="J116" i="4" s="1"/>
  <c r="J117" i="4" s="1"/>
  <c r="J118" i="4" s="1"/>
  <c r="J120" i="4" s="1"/>
  <c r="J61" i="18"/>
  <c r="J62" i="18" s="1"/>
  <c r="J63" i="18" s="1"/>
  <c r="J64" i="18" s="1"/>
  <c r="J65" i="18" s="1"/>
  <c r="J66" i="18" s="1"/>
  <c r="J67" i="18" s="1"/>
  <c r="J68" i="18" s="1"/>
  <c r="J69" i="18" s="1"/>
  <c r="J71" i="18" s="1"/>
  <c r="J72" i="18" s="1"/>
  <c r="J73" i="18" s="1"/>
  <c r="J74" i="18" s="1"/>
  <c r="J75" i="18" s="1"/>
  <c r="J76" i="18" s="1"/>
  <c r="J47" i="16"/>
  <c r="J48" i="16" s="1"/>
  <c r="J48" i="13"/>
  <c r="J76" i="3"/>
  <c r="J77" i="3" s="1"/>
  <c r="J78" i="3" s="1"/>
  <c r="J88" i="19"/>
  <c r="J89" i="19" s="1"/>
  <c r="J90" i="19" s="1"/>
  <c r="J91" i="19" s="1"/>
  <c r="J92" i="19" s="1"/>
  <c r="J93" i="19" s="1"/>
  <c r="J94" i="19" s="1"/>
  <c r="J95" i="19" s="1"/>
  <c r="J96" i="19" s="1"/>
  <c r="J97" i="19" s="1"/>
  <c r="J98" i="19" s="1"/>
  <c r="J99" i="19" s="1"/>
  <c r="J100" i="19" s="1"/>
  <c r="J102" i="19" s="1"/>
  <c r="J103" i="19" s="1"/>
  <c r="J104" i="19" s="1"/>
  <c r="J105" i="19" s="1"/>
  <c r="J106" i="19" s="1"/>
  <c r="J107" i="19" s="1"/>
  <c r="J108" i="19" s="1"/>
  <c r="J109" i="19" s="1"/>
  <c r="J110" i="19" s="1"/>
  <c r="J96" i="1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91" i="7"/>
  <c r="J91" i="15"/>
  <c r="J92" i="15" s="1"/>
  <c r="J93" i="15" s="1"/>
  <c r="J124" i="5"/>
  <c r="J125" i="5" s="1"/>
  <c r="J126" i="5" s="1"/>
  <c r="J127" i="5" s="1"/>
  <c r="J128" i="5" s="1"/>
  <c r="J129" i="5" s="1"/>
  <c r="J130" i="5" s="1"/>
  <c r="J131" i="5" s="1"/>
  <c r="J132" i="5" s="1"/>
  <c r="J133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2" i="14"/>
  <c r="J143" i="14" s="1"/>
  <c r="J79" i="3" l="1"/>
  <c r="J121" i="4"/>
  <c r="J122" i="4" s="1"/>
  <c r="J49" i="13"/>
  <c r="J50" i="13" s="1"/>
  <c r="J52" i="13" s="1"/>
  <c r="J53" i="13" s="1"/>
  <c r="J54" i="13" s="1"/>
  <c r="J55" i="13" s="1"/>
  <c r="J58" i="13" s="1"/>
  <c r="J59" i="13" s="1"/>
  <c r="J49" i="16"/>
  <c r="J50" i="16" s="1"/>
  <c r="J90" i="6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5" i="6" s="1"/>
  <c r="J106" i="6" s="1"/>
  <c r="J107" i="6" s="1"/>
  <c r="J108" i="6" s="1"/>
  <c r="J109" i="6" s="1"/>
  <c r="J110" i="6" s="1"/>
  <c r="J111" i="6" s="1"/>
  <c r="J112" i="6" s="1"/>
  <c r="J113" i="6" s="1"/>
  <c r="J92" i="7"/>
  <c r="J93" i="7" s="1"/>
  <c r="J94" i="7" s="1"/>
  <c r="J95" i="7" s="1"/>
  <c r="J96" i="7" s="1"/>
  <c r="J97" i="7" s="1"/>
  <c r="J98" i="7" s="1"/>
  <c r="J99" i="7" s="1"/>
  <c r="J100" i="7" s="1"/>
  <c r="J102" i="7" s="1"/>
  <c r="J103" i="7" s="1"/>
  <c r="J104" i="7" s="1"/>
  <c r="J105" i="7" s="1"/>
  <c r="J106" i="7" s="1"/>
  <c r="J107" i="7" s="1"/>
  <c r="J108" i="7" s="1"/>
  <c r="J109" i="7" s="1"/>
  <c r="J94" i="15"/>
  <c r="J95" i="15" s="1"/>
  <c r="J96" i="15" s="1"/>
  <c r="J97" i="15" s="1"/>
  <c r="J64" i="20"/>
  <c r="J65" i="20" s="1"/>
  <c r="J66" i="20" s="1"/>
  <c r="J67" i="20" s="1"/>
  <c r="J68" i="20" s="1"/>
  <c r="J69" i="20" s="1"/>
  <c r="J70" i="20" s="1"/>
  <c r="J71" i="20" s="1"/>
  <c r="J72" i="20" s="1"/>
  <c r="J74" i="20" s="1"/>
  <c r="J80" i="3" l="1"/>
  <c r="J81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6" i="3" s="1"/>
  <c r="J97" i="3" s="1"/>
  <c r="J98" i="3" s="1"/>
  <c r="J99" i="3" s="1"/>
  <c r="J100" i="3" s="1"/>
  <c r="J101" i="3" s="1"/>
  <c r="J102" i="3" s="1"/>
  <c r="J103" i="3" s="1"/>
  <c r="J123" i="4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51" i="16"/>
  <c r="J52" i="16" s="1"/>
  <c r="J54" i="16" s="1"/>
  <c r="J55" i="16" s="1"/>
  <c r="J56" i="16" s="1"/>
  <c r="J57" i="16" s="1"/>
  <c r="J58" i="16" s="1"/>
  <c r="J59" i="16" s="1"/>
  <c r="J60" i="16" s="1"/>
  <c r="J61" i="16" s="1"/>
  <c r="J62" i="16" s="1"/>
  <c r="J66" i="16" s="1"/>
  <c r="J60" i="13"/>
  <c r="J61" i="13" s="1"/>
  <c r="J62" i="13" s="1"/>
  <c r="J63" i="13" s="1"/>
  <c r="J64" i="13" s="1"/>
  <c r="J66" i="13" s="1"/>
  <c r="J67" i="13" s="1"/>
  <c r="J68" i="13" s="1"/>
  <c r="J69" i="13" s="1"/>
  <c r="J70" i="13" s="1"/>
  <c r="J71" i="13" s="1"/>
  <c r="J98" i="15"/>
  <c r="J99" i="15" s="1"/>
  <c r="J109" i="11"/>
  <c r="J110" i="11" s="1"/>
  <c r="J111" i="11" s="1"/>
  <c r="J112" i="11" s="1"/>
  <c r="J113" i="11" s="1"/>
  <c r="J114" i="11" s="1"/>
  <c r="J115" i="11" s="1"/>
  <c r="J116" i="11" s="1"/>
  <c r="J117" i="11" s="1"/>
  <c r="J118" i="11" s="1"/>
  <c r="J75" i="20"/>
  <c r="J76" i="20" s="1"/>
  <c r="J77" i="20" s="1"/>
  <c r="J78" i="20" s="1"/>
  <c r="J79" i="20" s="1"/>
  <c r="J135" i="4" l="1"/>
  <c r="J136" i="4" s="1"/>
  <c r="J137" i="4" s="1"/>
  <c r="J138" i="4" s="1"/>
  <c r="J139" i="4" s="1"/>
  <c r="J140" i="4" s="1"/>
  <c r="J141" i="4" s="1"/>
  <c r="J142" i="4" s="1"/>
  <c r="J143" i="4" s="1"/>
  <c r="J144" i="4" s="1"/>
  <c r="J72" i="13"/>
  <c r="J73" i="13" s="1"/>
  <c r="J74" i="13" s="1"/>
  <c r="J75" i="13" s="1"/>
  <c r="J76" i="13" s="1"/>
  <c r="J77" i="13" s="1"/>
  <c r="J100" i="15"/>
  <c r="J60" i="8"/>
  <c r="J61" i="8" s="1"/>
  <c r="J62" i="8" s="1"/>
  <c r="J80" i="20"/>
  <c r="J81" i="20" s="1"/>
  <c r="J82" i="20" s="1"/>
  <c r="J83" i="20" s="1"/>
  <c r="J84" i="20" s="1"/>
  <c r="J85" i="20" s="1"/>
  <c r="J86" i="20" s="1"/>
  <c r="J78" i="13" l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88" i="20"/>
  <c r="J101" i="15"/>
  <c r="J102" i="15" s="1"/>
  <c r="J103" i="15" s="1"/>
  <c r="J104" i="15" s="1"/>
  <c r="J105" i="15" s="1"/>
  <c r="J106" i="15" s="1"/>
  <c r="J107" i="15" s="1"/>
  <c r="J108" i="15" s="1"/>
  <c r="J109" i="15" s="1"/>
  <c r="J110" i="15" s="1"/>
  <c r="J111" i="15" s="1"/>
  <c r="J113" i="15" s="1"/>
  <c r="J114" i="15" s="1"/>
  <c r="J115" i="15" s="1"/>
  <c r="J116" i="15" s="1"/>
  <c r="J117" i="15" s="1"/>
  <c r="J118" i="15" s="1"/>
  <c r="J119" i="15" s="1"/>
  <c r="J120" i="15" s="1"/>
  <c r="J121" i="15" s="1"/>
  <c r="J122" i="15" s="1"/>
  <c r="J67" i="16"/>
  <c r="J68" i="16" s="1"/>
  <c r="J69" i="16" s="1"/>
  <c r="J70" i="16" s="1"/>
  <c r="J71" i="16" s="1"/>
  <c r="J72" i="16" s="1"/>
  <c r="J73" i="16" s="1"/>
  <c r="J90" i="13" l="1"/>
  <c r="J91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20" i="11"/>
  <c r="J121" i="11" s="1"/>
  <c r="J64" i="8"/>
  <c r="Q65" i="8"/>
  <c r="J89" i="20"/>
  <c r="J90" i="20" s="1"/>
  <c r="J91" i="20" s="1"/>
  <c r="J92" i="20" s="1"/>
  <c r="J93" i="20" s="1"/>
  <c r="J94" i="20" s="1"/>
  <c r="J144" i="14"/>
  <c r="J145" i="14" s="1"/>
  <c r="J146" i="14" s="1"/>
  <c r="J147" i="14" s="1"/>
  <c r="J148" i="14" s="1"/>
  <c r="J149" i="14" s="1"/>
  <c r="J150" i="14" s="1"/>
  <c r="J151" i="14" s="1"/>
  <c r="J152" i="14" s="1"/>
  <c r="J153" i="14" s="1"/>
  <c r="J154" i="14" s="1"/>
  <c r="J155" i="14" s="1"/>
  <c r="J156" i="14" s="1"/>
  <c r="J157" i="14" s="1"/>
  <c r="J158" i="14" s="1"/>
  <c r="J159" i="14" s="1"/>
  <c r="J160" i="14" s="1"/>
  <c r="J161" i="14" s="1"/>
  <c r="J162" i="14" s="1"/>
  <c r="J163" i="14" s="1"/>
  <c r="J164" i="14" s="1"/>
  <c r="J165" i="14" s="1"/>
  <c r="J166" i="14" s="1"/>
  <c r="J167" i="14" s="1"/>
  <c r="J168" i="14" s="1"/>
  <c r="J169" i="14" s="1"/>
  <c r="J170" i="14" s="1"/>
  <c r="J171" i="14" s="1"/>
  <c r="J172" i="14" s="1"/>
  <c r="J174" i="14" s="1"/>
  <c r="J175" i="14" s="1"/>
  <c r="J176" i="14" s="1"/>
  <c r="J177" i="14" s="1"/>
  <c r="J178" i="14" s="1"/>
  <c r="J179" i="14" s="1"/>
  <c r="J180" i="14" s="1"/>
  <c r="J181" i="14" s="1"/>
  <c r="J182" i="14" s="1"/>
  <c r="J183" i="14" s="1"/>
  <c r="J184" i="14" s="1"/>
  <c r="J185" i="14" s="1"/>
  <c r="J186" i="14" s="1"/>
  <c r="J187" i="14" s="1"/>
  <c r="J188" i="14" s="1"/>
  <c r="J189" i="14" s="1"/>
  <c r="J190" i="14" s="1"/>
  <c r="J191" i="14" s="1"/>
  <c r="J122" i="11" l="1"/>
  <c r="J123" i="11" s="1"/>
  <c r="J124" i="11" s="1"/>
  <c r="J125" i="11" s="1"/>
  <c r="J126" i="11" s="1"/>
  <c r="J127" i="11" s="1"/>
  <c r="J75" i="16"/>
  <c r="J76" i="16" s="1"/>
  <c r="J77" i="16" l="1"/>
  <c r="J79" i="12"/>
  <c r="J80" i="12" s="1"/>
  <c r="J81" i="12" s="1"/>
  <c r="J82" i="12" s="1"/>
  <c r="J83" i="12" s="1"/>
  <c r="J84" i="12" s="1"/>
  <c r="J85" i="12" s="1"/>
  <c r="J86" i="12" s="1"/>
  <c r="W26" i="26"/>
  <c r="J129" i="11" l="1"/>
  <c r="J130" i="11" s="1"/>
  <c r="J131" i="11" s="1"/>
  <c r="J132" i="11" s="1"/>
  <c r="J133" i="11" s="1"/>
  <c r="J134" i="11" s="1"/>
  <c r="J78" i="16"/>
  <c r="J79" i="16" s="1"/>
  <c r="C27" i="27"/>
  <c r="C33" i="27" s="1"/>
  <c r="E27" i="27" s="1"/>
  <c r="J80" i="16" l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Q69" i="8"/>
  <c r="AB26" i="26"/>
  <c r="AC29" i="26" s="1"/>
  <c r="AC30" i="26" s="1"/>
  <c r="J7" i="25" s="1"/>
  <c r="J9" i="25" s="1"/>
  <c r="J10" i="25" s="1"/>
  <c r="J11" i="25" s="1"/>
  <c r="J12" i="25" s="1"/>
  <c r="J13" i="25" s="1"/>
  <c r="J14" i="25" s="1"/>
  <c r="J15" i="25" s="1"/>
  <c r="J16" i="25" s="1"/>
  <c r="J17" i="25" s="1"/>
  <c r="J18" i="25" s="1"/>
  <c r="J19" i="25" s="1"/>
  <c r="J21" i="25" s="1"/>
  <c r="J22" i="25" s="1"/>
  <c r="J23" i="25" s="1"/>
  <c r="J24" i="25" s="1"/>
  <c r="J25" i="25" s="1"/>
  <c r="J26" i="25" s="1"/>
  <c r="J27" i="25" s="1"/>
  <c r="J28" i="25" s="1"/>
  <c r="J29" i="25" s="1"/>
  <c r="H94" i="12"/>
  <c r="J87" i="12"/>
  <c r="E31" i="27"/>
  <c r="E17" i="27"/>
  <c r="E12" i="27"/>
  <c r="E21" i="27"/>
  <c r="E25" i="27"/>
  <c r="E19" i="27"/>
  <c r="E26" i="27"/>
  <c r="E18" i="27"/>
  <c r="E11" i="27"/>
  <c r="E23" i="27"/>
  <c r="E32" i="27"/>
  <c r="E20" i="27"/>
  <c r="E15" i="27"/>
  <c r="E28" i="27"/>
  <c r="E13" i="27"/>
  <c r="E22" i="27"/>
  <c r="E30" i="27"/>
  <c r="E29" i="27"/>
  <c r="E9" i="27"/>
  <c r="E16" i="27"/>
  <c r="E14" i="27"/>
  <c r="E24" i="27"/>
  <c r="E8" i="27"/>
  <c r="E10" i="27"/>
  <c r="E33" i="27" l="1"/>
  <c r="H107" i="13"/>
  <c r="J93" i="16"/>
  <c r="H105" i="1"/>
  <c r="H76" i="21"/>
  <c r="J76" i="21" s="1"/>
  <c r="H129" i="15"/>
  <c r="H110" i="10"/>
  <c r="H101" i="20"/>
  <c r="J145" i="4"/>
  <c r="H83" i="18"/>
  <c r="H117" i="19"/>
  <c r="J94" i="12"/>
  <c r="H81" i="21" l="1"/>
  <c r="J81" i="21" s="1"/>
  <c r="H98" i="16"/>
  <c r="J98" i="16" s="1"/>
  <c r="H101" i="2"/>
  <c r="J101" i="2" s="1"/>
  <c r="H199" i="14"/>
  <c r="J199" i="14" s="1"/>
  <c r="H116" i="7"/>
  <c r="J116" i="7" s="1"/>
  <c r="H118" i="6"/>
  <c r="J118" i="6" s="1"/>
  <c r="J104" i="3"/>
  <c r="H110" i="3"/>
  <c r="J110" i="3" s="1"/>
  <c r="H151" i="5"/>
  <c r="J151" i="5" s="1"/>
  <c r="J105" i="1"/>
  <c r="H119" i="8"/>
  <c r="J119" i="8" s="1"/>
  <c r="J111" i="19"/>
  <c r="J117" i="19"/>
  <c r="J83" i="18"/>
  <c r="J107" i="13"/>
  <c r="J103" i="13"/>
  <c r="J129" i="15"/>
  <c r="J123" i="15"/>
  <c r="J110" i="10"/>
  <c r="J135" i="11"/>
  <c r="H141" i="11"/>
  <c r="J141" i="11" s="1"/>
  <c r="J101" i="20"/>
  <c r="J95" i="20"/>
  <c r="J65" i="8" l="1"/>
  <c r="J68" i="8" s="1"/>
  <c r="J31" i="25" l="1"/>
  <c r="J32" i="25" s="1"/>
  <c r="J33" i="25" s="1"/>
  <c r="J34" i="25" s="1"/>
  <c r="J35" i="25" s="1"/>
  <c r="J36" i="25" s="1"/>
  <c r="J37" i="25" s="1"/>
  <c r="J38" i="25" s="1"/>
  <c r="J39" i="25" s="1"/>
  <c r="J40" i="25" s="1"/>
  <c r="J41" i="25" s="1"/>
  <c r="J42" i="25" s="1"/>
  <c r="J43" i="25" s="1"/>
  <c r="J69" i="8"/>
  <c r="J70" i="8" s="1"/>
  <c r="J71" i="8" s="1"/>
  <c r="J72" i="8" s="1"/>
  <c r="J73" i="8" s="1"/>
  <c r="J74" i="8" s="1"/>
  <c r="J45" i="25" l="1"/>
  <c r="J46" i="25" s="1"/>
  <c r="J47" i="25" s="1"/>
  <c r="J48" i="25" s="1"/>
  <c r="J49" i="25" s="1"/>
  <c r="J50" i="25" s="1"/>
  <c r="J51" i="25" s="1"/>
  <c r="J52" i="25" s="1"/>
  <c r="J53" i="25" s="1"/>
  <c r="J54" i="25" s="1"/>
  <c r="J55" i="25" s="1"/>
  <c r="J56" i="25" s="1"/>
  <c r="J57" i="25" s="1"/>
  <c r="J59" i="25" s="1"/>
  <c r="J60" i="25" l="1"/>
  <c r="J61" i="25" s="1"/>
  <c r="J62" i="25" s="1"/>
  <c r="J63" i="25" s="1"/>
  <c r="J64" i="25" s="1"/>
  <c r="J65" i="25" s="1"/>
  <c r="J66" i="25" s="1"/>
  <c r="J67" i="25" s="1"/>
  <c r="J68" i="25" s="1"/>
  <c r="J69" i="25" s="1"/>
  <c r="J70" i="25" s="1"/>
  <c r="J71" i="25" s="1"/>
  <c r="J72" i="25" s="1"/>
  <c r="J73" i="25" s="1"/>
  <c r="J75" i="25" s="1"/>
  <c r="J76" i="25" s="1"/>
  <c r="J77" i="25" s="1"/>
  <c r="J78" i="25" s="1"/>
  <c r="J79" i="25" s="1"/>
  <c r="J80" i="25" s="1"/>
  <c r="J81" i="25" s="1"/>
  <c r="J82" i="25" s="1"/>
  <c r="J83" i="25" s="1"/>
  <c r="J84" i="25" s="1"/>
  <c r="J85" i="25" s="1"/>
  <c r="J86" i="25" s="1"/>
  <c r="J87" i="25" s="1"/>
  <c r="J88" i="25" s="1"/>
  <c r="J89" i="25" s="1"/>
  <c r="J90" i="25" s="1"/>
  <c r="J91" i="25" s="1"/>
  <c r="J92" i="25" s="1"/>
  <c r="Q77" i="8"/>
  <c r="J76" i="8" l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4" i="25" l="1"/>
  <c r="J94" i="8"/>
  <c r="Q95" i="8"/>
  <c r="Q115" i="8" s="1"/>
  <c r="J95" i="25" l="1"/>
  <c r="J96" i="25" s="1"/>
  <c r="J97" i="25" s="1"/>
  <c r="J98" i="25" s="1"/>
  <c r="J95" i="8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99" i="25" l="1"/>
  <c r="J100" i="25" s="1"/>
  <c r="J101" i="25" s="1"/>
  <c r="J102" i="25"/>
  <c r="J103" i="25" s="1"/>
  <c r="J104" i="25" s="1"/>
  <c r="J105" i="25" s="1"/>
  <c r="J106" i="25" s="1"/>
  <c r="J108" i="25" s="1"/>
  <c r="J109" i="25" s="1"/>
  <c r="J110" i="25" s="1"/>
  <c r="J111" i="25" s="1"/>
  <c r="J112" i="25" s="1"/>
  <c r="J113" i="25" s="1"/>
  <c r="J114" i="25" s="1"/>
  <c r="J115" i="25" s="1"/>
  <c r="J116" i="25" s="1"/>
  <c r="J24" i="10"/>
  <c r="J25" i="10" s="1"/>
  <c r="J26" i="10" s="1"/>
  <c r="J27" i="10" s="1"/>
  <c r="J28" i="10" s="1"/>
  <c r="J29" i="10" s="1"/>
  <c r="J30" i="10" s="1"/>
  <c r="J31" i="10" s="1"/>
  <c r="J32" i="10" s="1"/>
  <c r="J33" i="10" s="1"/>
  <c r="J35" i="10" s="1"/>
  <c r="J117" i="25" l="1"/>
  <c r="J36" i="10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118" i="25" l="1"/>
  <c r="J119" i="25" s="1"/>
  <c r="J120" i="25" s="1"/>
  <c r="J121" i="25" s="1"/>
  <c r="J122" i="25" s="1"/>
  <c r="J123" i="25" s="1"/>
  <c r="J124" i="25" s="1"/>
  <c r="J125" i="25" s="1"/>
  <c r="J126" i="25" s="1"/>
  <c r="J127" i="25" s="1"/>
  <c r="J128" i="25" s="1"/>
  <c r="J129" i="25" s="1"/>
  <c r="J130" i="25" s="1"/>
  <c r="J131" i="25" s="1"/>
  <c r="J48" i="10" l="1"/>
  <c r="J49" i="10" l="1"/>
  <c r="J50" i="10" s="1"/>
  <c r="J51" i="10" s="1"/>
  <c r="J52" i="10" s="1"/>
  <c r="J53" i="10" s="1"/>
  <c r="J54" i="10" s="1"/>
  <c r="J55" i="10" s="1"/>
  <c r="J57" i="10" l="1"/>
  <c r="J58" i="10" s="1"/>
  <c r="J59" i="10" s="1"/>
  <c r="J60" i="10" s="1"/>
  <c r="J61" i="10" s="1"/>
  <c r="J62" i="10" s="1"/>
  <c r="J64" i="10" s="1"/>
  <c r="J65" i="10" s="1"/>
  <c r="J66" i="10" s="1"/>
  <c r="J67" i="10" s="1"/>
  <c r="J69" i="10" s="1"/>
  <c r="J70" i="10" s="1"/>
  <c r="J71" i="10" s="1"/>
  <c r="J72" i="10" s="1"/>
  <c r="J74" i="10" l="1"/>
  <c r="J75" i="10" s="1"/>
  <c r="J76" i="10" s="1"/>
  <c r="J79" i="10" s="1"/>
  <c r="J80" i="10" s="1"/>
  <c r="J81" i="10" s="1"/>
  <c r="J82" i="10" s="1"/>
  <c r="J83" i="10" s="1"/>
  <c r="J84" i="10" s="1"/>
  <c r="J85" i="10" s="1"/>
  <c r="J87" i="10" s="1"/>
  <c r="J88" i="10" s="1"/>
  <c r="J89" i="10" s="1"/>
  <c r="J90" i="10" s="1"/>
  <c r="J91" i="10" s="1"/>
  <c r="J92" i="10" s="1"/>
  <c r="J93" i="10" s="1"/>
  <c r="J94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9" i="9"/>
  <c r="H177" i="9"/>
  <c r="J177" i="9" s="1"/>
  <c r="H183" i="9" l="1"/>
  <c r="J183" i="9" s="1"/>
  <c r="K6" i="28"/>
  <c r="J11" i="9"/>
  <c r="J12" i="9" s="1"/>
  <c r="J13" i="9" s="1"/>
  <c r="J14" i="9" s="1"/>
  <c r="J15" i="9" s="1"/>
  <c r="J16" i="9" s="1"/>
  <c r="J17" i="9" s="1"/>
  <c r="J18" i="9" s="1"/>
  <c r="J19" i="9" s="1"/>
  <c r="J20" i="9" s="1"/>
  <c r="J22" i="9" l="1"/>
  <c r="J23" i="9" s="1"/>
  <c r="J24" i="9" s="1"/>
  <c r="J25" i="9" s="1"/>
  <c r="J26" i="9" s="1"/>
  <c r="J27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9" i="17" l="1"/>
  <c r="J49" i="9" l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H106" i="17"/>
  <c r="J106" i="17" s="1"/>
  <c r="J12" i="17"/>
  <c r="J13" i="17" s="1"/>
  <c r="J14" i="17" s="1"/>
  <c r="J16" i="17" s="1"/>
  <c r="J17" i="17" s="1"/>
  <c r="K15" i="28"/>
  <c r="J68" i="9" l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8" i="9" s="1"/>
  <c r="J109" i="9" s="1"/>
  <c r="J112" i="9" s="1"/>
  <c r="J113" i="9" s="1"/>
  <c r="J114" i="9" s="1"/>
  <c r="J115" i="9" s="1"/>
  <c r="J116" i="9" s="1"/>
  <c r="J117" i="9" s="1"/>
  <c r="J118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8" i="17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5" i="17" s="1"/>
  <c r="J36" i="17" s="1"/>
  <c r="J37" i="17" s="1"/>
  <c r="J38" i="17" s="1"/>
  <c r="J40" i="17" s="1"/>
  <c r="J41" i="17" s="1"/>
  <c r="J42" i="17" s="1"/>
  <c r="J43" i="17" s="1"/>
  <c r="J44" i="17" s="1"/>
  <c r="J46" i="17" s="1"/>
  <c r="J47" i="17" s="1"/>
  <c r="J48" i="17" s="1"/>
  <c r="J49" i="17" s="1"/>
  <c r="J50" i="17" s="1"/>
  <c r="J52" i="17" s="1"/>
  <c r="J53" i="17" s="1"/>
  <c r="J54" i="17" s="1"/>
  <c r="J55" i="17" s="1"/>
  <c r="J56" i="17" s="1"/>
  <c r="J57" i="17" s="1"/>
  <c r="J58" i="17" s="1"/>
  <c r="J59" i="17" s="1"/>
  <c r="J60" i="17" l="1"/>
  <c r="J62" i="17"/>
  <c r="J63" i="17" s="1"/>
  <c r="J64" i="17" s="1"/>
  <c r="J65" i="17" s="1"/>
  <c r="J66" i="17" s="1"/>
  <c r="J67" i="17" s="1"/>
  <c r="J68" i="17" s="1"/>
  <c r="J162" i="9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9" i="22"/>
  <c r="J11" i="22" s="1"/>
  <c r="J12" i="22" s="1"/>
  <c r="J13" i="22" s="1"/>
  <c r="J14" i="22" s="1"/>
  <c r="J15" i="22" s="1"/>
  <c r="J17" i="22" s="1"/>
  <c r="J18" i="22" s="1"/>
  <c r="J20" i="22" s="1"/>
  <c r="J21" i="22" s="1"/>
  <c r="J22" i="22" s="1"/>
  <c r="J23" i="22" s="1"/>
  <c r="J24" i="22" s="1"/>
  <c r="J25" i="22" s="1"/>
  <c r="J26" i="22" s="1"/>
  <c r="J27" i="22" s="1"/>
  <c r="J28" i="22" s="1"/>
  <c r="J29" i="22" s="1"/>
  <c r="J30" i="22" s="1"/>
  <c r="J31" i="22" s="1"/>
  <c r="J32" i="22" s="1"/>
  <c r="J33" i="22" s="1"/>
  <c r="J34" i="22" s="1"/>
  <c r="J35" i="22" s="1"/>
  <c r="J36" i="22" s="1"/>
  <c r="J37" i="22" s="1"/>
  <c r="J38" i="22" s="1"/>
  <c r="J39" i="22" s="1"/>
  <c r="J40" i="22" s="1"/>
  <c r="J41" i="22" s="1"/>
  <c r="J42" i="22" s="1"/>
  <c r="J43" i="22" s="1"/>
  <c r="J44" i="22" s="1"/>
  <c r="J45" i="22" s="1"/>
  <c r="J46" i="22" s="1"/>
  <c r="J47" i="22" s="1"/>
  <c r="J48" i="22" s="1"/>
  <c r="J49" i="22" s="1"/>
  <c r="J50" i="22" s="1"/>
  <c r="J51" i="22" s="1"/>
  <c r="J52" i="22" s="1"/>
  <c r="J53" i="22" s="1"/>
  <c r="J55" i="22" s="1"/>
  <c r="J56" i="22" s="1"/>
  <c r="J57" i="22" s="1"/>
  <c r="J58" i="22" s="1"/>
  <c r="J59" i="22" s="1"/>
  <c r="J60" i="22" s="1"/>
  <c r="J61" i="22" s="1"/>
  <c r="J62" i="22" s="1"/>
  <c r="J63" i="22" s="1"/>
  <c r="J64" i="22" s="1"/>
  <c r="J65" i="22" s="1"/>
  <c r="J66" i="22" s="1"/>
  <c r="J67" i="22" s="1"/>
  <c r="J68" i="22" s="1"/>
  <c r="J69" i="22" s="1"/>
  <c r="J70" i="22" s="1"/>
  <c r="J71" i="22" s="1"/>
  <c r="J72" i="22" s="1"/>
  <c r="J74" i="22" s="1"/>
  <c r="J75" i="22" s="1"/>
  <c r="J76" i="22" s="1"/>
  <c r="J77" i="22" s="1"/>
  <c r="J78" i="22" s="1"/>
  <c r="J79" i="22" s="1"/>
  <c r="J80" i="22" s="1"/>
  <c r="J81" i="22" s="1"/>
  <c r="J82" i="22" s="1"/>
  <c r="J83" i="22" s="1"/>
  <c r="J84" i="22" s="1"/>
  <c r="J85" i="22" s="1"/>
  <c r="J86" i="22" s="1"/>
  <c r="J87" i="22" s="1"/>
  <c r="J88" i="22" s="1"/>
  <c r="J89" i="22" s="1"/>
  <c r="J90" i="22" s="1"/>
  <c r="J91" i="22" s="1"/>
  <c r="J92" i="22" s="1"/>
  <c r="J93" i="22" s="1"/>
  <c r="J94" i="22" s="1"/>
  <c r="J95" i="22" s="1"/>
  <c r="J96" i="22" s="1"/>
  <c r="J97" i="22" s="1"/>
  <c r="J99" i="22" s="1"/>
  <c r="J100" i="22" s="1"/>
  <c r="J101" i="22" s="1"/>
  <c r="J102" i="22" s="1"/>
  <c r="J103" i="22" s="1"/>
  <c r="J104" i="22" s="1"/>
  <c r="J105" i="22" s="1"/>
  <c r="J106" i="22" s="1"/>
  <c r="J107" i="22" s="1"/>
  <c r="J108" i="22" s="1"/>
  <c r="J109" i="22" s="1"/>
  <c r="J111" i="22" s="1"/>
  <c r="J112" i="22" s="1"/>
  <c r="J113" i="22" s="1"/>
  <c r="J114" i="22" s="1"/>
  <c r="J115" i="22" s="1"/>
  <c r="J116" i="22" s="1"/>
  <c r="J117" i="22" s="1"/>
  <c r="J118" i="22" s="1"/>
  <c r="J119" i="22" s="1"/>
  <c r="J120" i="22" s="1"/>
  <c r="J121" i="22" s="1"/>
  <c r="J122" i="22" s="1"/>
  <c r="J123" i="22" s="1"/>
  <c r="J124" i="22" s="1"/>
  <c r="J125" i="22" s="1"/>
  <c r="J126" i="22" s="1"/>
  <c r="J127" i="22" s="1"/>
  <c r="J128" i="22" s="1"/>
  <c r="J129" i="22" s="1"/>
  <c r="J130" i="22" s="1"/>
  <c r="J131" i="22" s="1"/>
  <c r="J132" i="22" s="1"/>
  <c r="J133" i="22" s="1"/>
  <c r="J134" i="22" s="1"/>
  <c r="J135" i="22" s="1"/>
  <c r="J136" i="22" s="1"/>
  <c r="J138" i="22" s="1"/>
  <c r="J139" i="22" s="1"/>
  <c r="J140" i="22" s="1"/>
  <c r="J141" i="22" s="1"/>
  <c r="J142" i="22" s="1"/>
  <c r="J143" i="22" s="1"/>
  <c r="J144" i="22" s="1"/>
  <c r="J145" i="22" s="1"/>
  <c r="J146" i="22" s="1"/>
  <c r="J147" i="22" s="1"/>
  <c r="J148" i="22" s="1"/>
  <c r="J149" i="22" s="1"/>
  <c r="J150" i="22" s="1"/>
  <c r="J151" i="22" s="1"/>
  <c r="J152" i="22" s="1"/>
  <c r="J153" i="22" s="1"/>
  <c r="J154" i="22" s="1"/>
  <c r="J155" i="22" s="1"/>
  <c r="J156" i="22" s="1"/>
  <c r="J157" i="22" s="1"/>
  <c r="J158" i="22" s="1"/>
  <c r="J159" i="22" s="1"/>
  <c r="J160" i="22" s="1"/>
  <c r="J161" i="22" s="1"/>
  <c r="J162" i="22" s="1"/>
  <c r="J163" i="22" s="1"/>
  <c r="J164" i="22" s="1"/>
  <c r="J165" i="22" s="1"/>
  <c r="J166" i="22" s="1"/>
  <c r="J167" i="22" s="1"/>
  <c r="J168" i="22" s="1"/>
  <c r="J169" i="22" s="1"/>
  <c r="J170" i="22" s="1"/>
  <c r="J171" i="22" s="1"/>
  <c r="J172" i="22" s="1"/>
  <c r="J173" i="22" s="1"/>
  <c r="J174" i="22" s="1"/>
  <c r="J175" i="22" s="1"/>
  <c r="J176" i="22" s="1"/>
  <c r="J177" i="22" s="1"/>
  <c r="J178" i="22" s="1"/>
  <c r="H295" i="22"/>
  <c r="J69" i="17" l="1"/>
  <c r="J71" i="17"/>
  <c r="J72" i="17" s="1"/>
  <c r="J73" i="17" s="1"/>
  <c r="J74" i="17" s="1"/>
  <c r="J78" i="17" s="1"/>
  <c r="J79" i="17" s="1"/>
  <c r="J80" i="17" s="1"/>
  <c r="J81" i="17" s="1"/>
  <c r="J82" i="17" s="1"/>
  <c r="J83" i="17" s="1"/>
  <c r="J84" i="17" s="1"/>
  <c r="J86" i="17" s="1"/>
  <c r="J87" i="17" s="1"/>
  <c r="J88" i="17" s="1"/>
  <c r="J89" i="17" s="1"/>
  <c r="J90" i="17" s="1"/>
  <c r="J91" i="17" s="1"/>
  <c r="J93" i="17" s="1"/>
  <c r="J94" i="17" s="1"/>
  <c r="J95" i="17" s="1"/>
  <c r="J96" i="17" s="1"/>
  <c r="J97" i="17" s="1"/>
  <c r="J98" i="17" s="1"/>
  <c r="J99" i="17" s="1"/>
  <c r="J295" i="22"/>
  <c r="H300" i="22"/>
  <c r="J300" i="22" s="1"/>
  <c r="K26" i="28"/>
  <c r="J180" i="22" l="1"/>
  <c r="J181" i="22" s="1"/>
  <c r="J182" i="22" s="1"/>
  <c r="J183" i="22" s="1"/>
  <c r="J184" i="22" s="1"/>
  <c r="J185" i="22" s="1"/>
  <c r="J186" i="22" s="1"/>
  <c r="J187" i="22" s="1"/>
  <c r="J188" i="22" s="1"/>
  <c r="J189" i="22" s="1"/>
  <c r="J190" i="22" s="1"/>
  <c r="J191" i="22" s="1"/>
  <c r="J192" i="22" s="1"/>
  <c r="J193" i="22" s="1"/>
  <c r="J194" i="22" s="1"/>
  <c r="J195" i="22" s="1"/>
  <c r="J196" i="22" s="1"/>
  <c r="J197" i="22" s="1"/>
  <c r="J198" i="22" s="1"/>
  <c r="J199" i="22" s="1"/>
  <c r="J200" i="22" s="1"/>
  <c r="J201" i="22" s="1"/>
  <c r="J202" i="22" s="1"/>
  <c r="J203" i="22" s="1"/>
  <c r="J204" i="22" s="1"/>
  <c r="J205" i="22" s="1"/>
  <c r="J206" i="22" s="1"/>
  <c r="J207" i="22" s="1"/>
  <c r="J208" i="22" s="1"/>
  <c r="J209" i="22" s="1"/>
  <c r="J213" i="22" s="1"/>
  <c r="J214" i="22" s="1"/>
  <c r="J215" i="22" s="1"/>
  <c r="J216" i="22" s="1"/>
  <c r="J217" i="22" s="1"/>
  <c r="J218" i="22" s="1"/>
  <c r="J219" i="22" s="1"/>
  <c r="J220" i="22" s="1"/>
  <c r="J221" i="22" s="1"/>
  <c r="J222" i="22" s="1"/>
  <c r="J223" i="22" s="1"/>
  <c r="J224" i="22" s="1"/>
  <c r="J225" i="22" s="1"/>
  <c r="J226" i="22" s="1"/>
  <c r="J227" i="22" s="1"/>
  <c r="J228" i="22" s="1"/>
  <c r="J229" i="22" s="1"/>
  <c r="J230" i="22" s="1"/>
  <c r="J231" i="22" s="1"/>
  <c r="J232" i="22" s="1"/>
  <c r="J233" i="22" s="1"/>
  <c r="J234" i="22" s="1"/>
  <c r="J235" i="22" s="1"/>
  <c r="J236" i="22" s="1"/>
  <c r="J237" i="22" s="1"/>
  <c r="J238" i="22" s="1"/>
  <c r="J239" i="22" s="1"/>
  <c r="J240" i="22" s="1"/>
  <c r="J241" i="22" s="1"/>
  <c r="J242" i="22" s="1"/>
  <c r="J243" i="22" s="1"/>
  <c r="J244" i="22" s="1"/>
  <c r="J245" i="22" s="1"/>
  <c r="J246" i="22" s="1"/>
  <c r="J247" i="22" s="1"/>
  <c r="J248" i="22" s="1"/>
  <c r="J249" i="22" s="1"/>
  <c r="J250" i="22" s="1"/>
  <c r="J251" i="22" s="1"/>
  <c r="J252" i="22" s="1"/>
  <c r="J253" i="22" s="1"/>
  <c r="J254" i="22" s="1"/>
  <c r="J255" i="22" s="1"/>
  <c r="J256" i="22" s="1"/>
  <c r="J257" i="22" s="1"/>
  <c r="J258" i="22" s="1"/>
  <c r="J259" i="22" s="1"/>
  <c r="J260" i="22" s="1"/>
  <c r="J261" i="22" s="1"/>
  <c r="J262" i="22" s="1"/>
  <c r="J263" i="22" s="1"/>
  <c r="J266" i="22" s="1"/>
  <c r="J267" i="22" s="1"/>
  <c r="J268" i="22" s="1"/>
  <c r="J269" i="22" s="1"/>
  <c r="J270" i="22" l="1"/>
  <c r="J271" i="22" s="1"/>
  <c r="J272" i="22" s="1"/>
  <c r="J273" i="22" s="1"/>
  <c r="J274" i="22" s="1"/>
  <c r="J275" i="22" s="1"/>
  <c r="J276" i="22" s="1"/>
  <c r="J277" i="22" s="1"/>
  <c r="J278" i="22" s="1"/>
  <c r="J279" i="22" s="1"/>
  <c r="J280" i="22" s="1"/>
  <c r="J281" i="22" s="1"/>
  <c r="J282" i="22" s="1"/>
  <c r="J284" i="22" s="1"/>
  <c r="J285" i="22" l="1"/>
  <c r="J287" i="22" s="1"/>
  <c r="J289" i="22" s="1"/>
  <c r="J286" i="22"/>
  <c r="J288" i="22" s="1"/>
  <c r="J290" i="22" s="1"/>
  <c r="J291" i="22" s="1"/>
  <c r="J292" i="22" s="1"/>
  <c r="J293" i="22" s="1"/>
  <c r="J294" i="22" s="1"/>
  <c r="K3" i="29"/>
  <c r="K26" i="29" s="1"/>
  <c r="J133" i="25"/>
  <c r="J134" i="25" s="1"/>
  <c r="J135" i="25" s="1"/>
  <c r="J136" i="25" s="1"/>
  <c r="J137" i="25" s="1"/>
  <c r="J138" i="25" s="1"/>
  <c r="J139" i="25" s="1"/>
  <c r="J140" i="25" s="1"/>
  <c r="J141" i="25" s="1"/>
  <c r="J142" i="25" s="1"/>
  <c r="J143" i="25" s="1"/>
  <c r="J144" i="25" s="1"/>
  <c r="J145" i="25" s="1"/>
  <c r="J148" i="25" s="1"/>
  <c r="J149" i="25" s="1"/>
  <c r="J150" i="25" s="1"/>
  <c r="J151" i="25" s="1"/>
  <c r="J152" i="25" s="1"/>
  <c r="J153" i="25" s="1"/>
  <c r="J154" i="25" s="1"/>
  <c r="J155" i="25" s="1"/>
  <c r="J156" i="25" s="1"/>
  <c r="J157" i="25" s="1"/>
  <c r="J158" i="25" s="1"/>
  <c r="J159" i="25" s="1"/>
  <c r="J160" i="25" s="1"/>
  <c r="J161" i="25" s="1"/>
  <c r="J162" i="25" s="1"/>
  <c r="J163" i="25" s="1"/>
  <c r="J164" i="25" s="1"/>
  <c r="J165" i="25" s="1"/>
  <c r="J166" i="25" s="1"/>
  <c r="J167" i="25" s="1"/>
  <c r="J168" i="25" s="1"/>
  <c r="J169" i="25" s="1"/>
  <c r="J170" i="25" s="1"/>
  <c r="J171" i="25" s="1"/>
  <c r="J172" i="25" s="1"/>
  <c r="J174" i="25" s="1"/>
  <c r="J175" i="25" s="1"/>
  <c r="J176" i="25" s="1"/>
  <c r="J177" i="25" s="1"/>
  <c r="J178" i="25" s="1"/>
  <c r="J179" i="25" s="1"/>
  <c r="J180" i="25" s="1"/>
  <c r="J181" i="25" s="1"/>
  <c r="J182" i="25" s="1"/>
  <c r="J183" i="25" s="1"/>
  <c r="J184" i="25" s="1"/>
  <c r="J185" i="25" s="1"/>
  <c r="J186" i="25" s="1"/>
  <c r="J187" i="25" s="1"/>
  <c r="J188" i="25" s="1"/>
  <c r="J189" i="25" s="1"/>
  <c r="J190" i="25" s="1"/>
  <c r="J191" i="25" s="1"/>
  <c r="J192" i="25" s="1"/>
  <c r="J193" i="25" s="1"/>
  <c r="J194" i="25" s="1"/>
  <c r="J195" i="25" s="1"/>
  <c r="J196" i="25" s="1"/>
  <c r="J197" i="25" s="1"/>
  <c r="J198" i="25" s="1"/>
  <c r="J199" i="25" s="1"/>
  <c r="J200" i="25" s="1"/>
  <c r="J201" i="25" s="1"/>
  <c r="J202" i="25" s="1"/>
  <c r="J203" i="25" s="1"/>
  <c r="J204" i="25" s="1"/>
  <c r="J205" i="25" s="1"/>
  <c r="J206" i="25" s="1"/>
  <c r="J207" i="25" s="1"/>
  <c r="J208" i="25" s="1"/>
  <c r="J209" i="25" s="1"/>
  <c r="J210" i="25" s="1"/>
  <c r="J211" i="25" s="1"/>
  <c r="J212" i="25" s="1"/>
  <c r="J213" i="25" s="1"/>
  <c r="J214" i="25" s="1"/>
  <c r="J215" i="25" s="1"/>
  <c r="J216" i="25" s="1"/>
  <c r="J217" i="25" s="1"/>
  <c r="J218" i="25" s="1"/>
  <c r="J219" i="25" s="1"/>
  <c r="J220" i="25" s="1"/>
  <c r="J221" i="25" s="1"/>
  <c r="J222" i="25" s="1"/>
  <c r="J223" i="25" s="1"/>
  <c r="J224" i="25" s="1"/>
  <c r="J225" i="25" s="1"/>
  <c r="J226" i="25" s="1"/>
  <c r="J227" i="25" s="1"/>
  <c r="J229" i="25" s="1"/>
  <c r="J230" i="25" s="1"/>
  <c r="J231" i="25" s="1"/>
  <c r="J232" i="25" s="1"/>
  <c r="J233" i="25" s="1"/>
  <c r="J234" i="25" s="1"/>
  <c r="J235" i="25" s="1"/>
  <c r="J236" i="25" s="1"/>
  <c r="J237" i="25" s="1"/>
  <c r="J238" i="25" s="1"/>
  <c r="J239" i="25" s="1"/>
  <c r="J240" i="25" s="1"/>
  <c r="J241" i="25" s="1"/>
  <c r="J242" i="25" s="1"/>
  <c r="J243" i="25" s="1"/>
  <c r="J244" i="25" s="1"/>
  <c r="I245" i="25"/>
  <c r="D2" i="27" s="1"/>
  <c r="F32" i="27" l="1"/>
  <c r="F14" i="27"/>
  <c r="F17" i="27"/>
  <c r="F21" i="27"/>
  <c r="F10" i="27"/>
  <c r="F9" i="27"/>
  <c r="F30" i="27"/>
  <c r="F13" i="27"/>
  <c r="F23" i="27"/>
  <c r="F22" i="27"/>
  <c r="F11" i="27"/>
  <c r="F26" i="27"/>
  <c r="F19" i="27"/>
  <c r="F25" i="27"/>
  <c r="F15" i="27"/>
  <c r="F24" i="27"/>
  <c r="F20" i="27"/>
  <c r="F27" i="27"/>
  <c r="F28" i="27"/>
  <c r="F12" i="27"/>
  <c r="F29" i="27"/>
  <c r="F18" i="27"/>
  <c r="F16" i="27"/>
  <c r="F31" i="27"/>
  <c r="F8" i="27"/>
  <c r="F33" i="27" l="1"/>
</calcChain>
</file>

<file path=xl/sharedStrings.xml><?xml version="1.0" encoding="utf-8"?>
<sst xmlns="http://schemas.openxmlformats.org/spreadsheetml/2006/main" count="5890" uniqueCount="785">
  <si>
    <t>UNIDAD DE FINANZAS DAEM</t>
  </si>
  <si>
    <t>LEY SEP</t>
  </si>
  <si>
    <t>RBD 3489-4</t>
  </si>
  <si>
    <t>FECHA</t>
  </si>
  <si>
    <t>DETALLE</t>
  </si>
  <si>
    <t>INGRESOS</t>
  </si>
  <si>
    <t>GASTOS</t>
  </si>
  <si>
    <t>SALDO</t>
  </si>
  <si>
    <t>x</t>
  </si>
  <si>
    <t>TOTAL</t>
  </si>
  <si>
    <t>OC</t>
  </si>
  <si>
    <t>SOL</t>
  </si>
  <si>
    <t>Escuela:  F-413 BERNARDO O´HIGGINS  -  RBD 3492</t>
  </si>
  <si>
    <t>Escuela:  G-419 MARIANO LATORRE  RBD 3520</t>
  </si>
  <si>
    <t>Escuela:  LICEO MANUEL MONTT    RBD 3479</t>
  </si>
  <si>
    <t>Director:  AQUILES VASQUEZ CASTILLO</t>
  </si>
  <si>
    <t>DP</t>
  </si>
  <si>
    <t>ESTABLECIMIENTOS</t>
  </si>
  <si>
    <t>C.C</t>
  </si>
  <si>
    <t>JOSE MANUEL BALMACEDA</t>
  </si>
  <si>
    <t>E-403</t>
  </si>
  <si>
    <t>MANUEL DE SALAS</t>
  </si>
  <si>
    <t>E-414</t>
  </si>
  <si>
    <t>JUSTA NARVAEZ</t>
  </si>
  <si>
    <t>E-417</t>
  </si>
  <si>
    <t>JERONIMO LAGOS LISBOA</t>
  </si>
  <si>
    <t>E-424</t>
  </si>
  <si>
    <t>JORGE GONZALEZ BASTIAS</t>
  </si>
  <si>
    <t>F-375</t>
  </si>
  <si>
    <t>JULIO MONTT SALAMNCA</t>
  </si>
  <si>
    <t>F-405</t>
  </si>
  <si>
    <t>JUAN DE DIOS ALDEA</t>
  </si>
  <si>
    <t>F-407</t>
  </si>
  <si>
    <t>BERNARDO O'HIGGINS</t>
  </si>
  <si>
    <t>F-413</t>
  </si>
  <si>
    <t>MANUEL RODRIGUEZ</t>
  </si>
  <si>
    <t>F-425</t>
  </si>
  <si>
    <t>PEDRO LAGOS (TABONTINAJAS)</t>
  </si>
  <si>
    <t>F-426</t>
  </si>
  <si>
    <t>JOSE MIGUEL CARRERA</t>
  </si>
  <si>
    <t>F-428</t>
  </si>
  <si>
    <t>ADELAIDA RIQUELME</t>
  </si>
  <si>
    <t>G-389</t>
  </si>
  <si>
    <t>INES DE SUAREZ</t>
  </si>
  <si>
    <t>G-394</t>
  </si>
  <si>
    <t>RAMON CARNICER</t>
  </si>
  <si>
    <t>G-412</t>
  </si>
  <si>
    <t>CANDELARIA PEREZ</t>
  </si>
  <si>
    <t>G-416</t>
  </si>
  <si>
    <t>MARIANO EGAÑA</t>
  </si>
  <si>
    <t>G-418</t>
  </si>
  <si>
    <t>MARIANO LATORRE</t>
  </si>
  <si>
    <t>G-419</t>
  </si>
  <si>
    <t>CARLOS CONDELL</t>
  </si>
  <si>
    <t>G-429</t>
  </si>
  <si>
    <t>AURELIO MEZA RIVERA</t>
  </si>
  <si>
    <t>G-433</t>
  </si>
  <si>
    <t>IRENE MORALES</t>
  </si>
  <si>
    <t>G-446</t>
  </si>
  <si>
    <t>CAMILA MATTA VIAL</t>
  </si>
  <si>
    <t>G-469</t>
  </si>
  <si>
    <t>LICEO MANUEL MONTT</t>
  </si>
  <si>
    <t>LICEO</t>
  </si>
  <si>
    <t>Totales</t>
  </si>
  <si>
    <t>Resumen SEP:</t>
  </si>
  <si>
    <t>JULIO</t>
  </si>
  <si>
    <t>ENERO</t>
  </si>
  <si>
    <t>FEBRERO</t>
  </si>
  <si>
    <t>MARZO</t>
  </si>
  <si>
    <t>ABRIL</t>
  </si>
  <si>
    <t>CATEGORIA</t>
  </si>
  <si>
    <t>RBD: 3502</t>
  </si>
  <si>
    <t>DIRECTOR: FLOR BRAVO JARA</t>
  </si>
  <si>
    <t xml:space="preserve">SECTOR: </t>
  </si>
  <si>
    <t>SECTOR:</t>
  </si>
  <si>
    <t>DIRECTOR: CLAUDIO SOTO BELTRAN</t>
  </si>
  <si>
    <t>DIRECTOR: JULIO MUÑOZ</t>
  </si>
  <si>
    <t>RBD: 3506</t>
  </si>
  <si>
    <t xml:space="preserve">ESCUELA: G-394 INES DE SUAREZ </t>
  </si>
  <si>
    <t>RBD: 3480</t>
  </si>
  <si>
    <t>REBD: 3490</t>
  </si>
  <si>
    <t>ESCUELA:  F-405 JULIO MONTT SALAMANCA</t>
  </si>
  <si>
    <t>RBD: 3491</t>
  </si>
  <si>
    <t>ESCUELA:  F-407 JUAN DE DIOS ALDEA</t>
  </si>
  <si>
    <t>RBD: 3515</t>
  </si>
  <si>
    <t>ESCUELA:  G-412 RAMON CARNICER</t>
  </si>
  <si>
    <t>DIRECTOR: GABRIEL JAQUE MARIN</t>
  </si>
  <si>
    <t>ESCUELA: E-414 MANUEL DE SALAS  -  RBD 3481</t>
  </si>
  <si>
    <t>DIRECTOR: CARLOS ASBUN SEPULVEDA</t>
  </si>
  <si>
    <t>RBD: 3481</t>
  </si>
  <si>
    <t xml:space="preserve">ENERO </t>
  </si>
  <si>
    <t>RBD: 3517</t>
  </si>
  <si>
    <t>ESCUELA:  G-416 CANDELARIA PEREZ</t>
  </si>
  <si>
    <t>DIRECTOR: PAULINA TOLEDO HERNANDEZ</t>
  </si>
  <si>
    <t>RBD: 3482</t>
  </si>
  <si>
    <t xml:space="preserve">DIRECTOR: FERNANDO JARAMILLO </t>
  </si>
  <si>
    <t>ESCUELA:  E-417 JUSTA NARVAEZ RBD 3482</t>
  </si>
  <si>
    <t>RBD: 3492</t>
  </si>
  <si>
    <t>RBD:</t>
  </si>
  <si>
    <t xml:space="preserve">DIRECTOR: DOLY ROJAS FUENTES </t>
  </si>
  <si>
    <t>ESCUELA:  G-418 MARIANO EGAÑA</t>
  </si>
  <si>
    <t>RBD: 3518</t>
  </si>
  <si>
    <t>ESCUELA: E-424 GERONIMO LAGOS LISBOA</t>
  </si>
  <si>
    <t>RBD: 3483</t>
  </si>
  <si>
    <t>ESCUELA:  F-425 MANUEL RODRIGUEZ</t>
  </si>
  <si>
    <t>RBD: 3494</t>
  </si>
  <si>
    <t>RBD: 3495</t>
  </si>
  <si>
    <t>ESCUELA:  F-426 PEDRO LAGOS</t>
  </si>
  <si>
    <t>ESCUELA:  F-428  JOSE MIGUEL CARRERA</t>
  </si>
  <si>
    <t>ESCUELA:  G-429  CARLOS CONDELL    RBD 3523</t>
  </si>
  <si>
    <t xml:space="preserve">DIRECTOR:  DULCINEA GONZALEZ BECERRA </t>
  </si>
  <si>
    <t xml:space="preserve">DIRECTOR:  LUISA GONZALEZ BECERRA </t>
  </si>
  <si>
    <t>ESCUELA:  G-433  AURELIO MEZA RIVERA</t>
  </si>
  <si>
    <t>RBD: 3526</t>
  </si>
  <si>
    <t>RBD: 3488</t>
  </si>
  <si>
    <t>ESCUELA:  G-446  IRENE MORALES</t>
  </si>
  <si>
    <t>DIRECTOR:  LILIANA BRAVO GONZALEZ</t>
  </si>
  <si>
    <t>RBD: 3527</t>
  </si>
  <si>
    <t>ESCUELA:  G-469  CAMILA MATTA VIAL</t>
  </si>
  <si>
    <t>ADMINISTRACIÓN CENTRAL</t>
  </si>
  <si>
    <t>MAYO</t>
  </si>
  <si>
    <t>SECTOR: SAN JAVIER</t>
  </si>
  <si>
    <t>ESCUELA: E-403 MANUEL BALMACEDA   C.C. 2014</t>
  </si>
  <si>
    <t>ESCUELA: F-375 JORGE GONZALEZ BASTIAS  -  C.C.  2 - 2002</t>
  </si>
  <si>
    <t>NIRIVILO</t>
  </si>
  <si>
    <t>SECTOR:   LA PITIGUA</t>
  </si>
  <si>
    <t xml:space="preserve">ESCUELA: G-389 ADELAIDA RIQUELME MEZA   C.C. </t>
  </si>
  <si>
    <t>SECTOR:  RASTROJOS</t>
  </si>
  <si>
    <t xml:space="preserve">ABRIL </t>
  </si>
  <si>
    <t>JUNIO</t>
  </si>
  <si>
    <t>AGOSTO</t>
  </si>
  <si>
    <t>SEPTIEMBRE</t>
  </si>
  <si>
    <t>OCTUBRE</t>
  </si>
  <si>
    <t>NOVIEMBRE</t>
  </si>
  <si>
    <t>DICIEMBRE</t>
  </si>
  <si>
    <t>AC</t>
  </si>
  <si>
    <t>TOTAL GASTO A FINANCIAR</t>
  </si>
  <si>
    <t>INGRESOS POR RECURSOS CENTRALIZADOS</t>
  </si>
  <si>
    <t>ESTABLECIMIENTO</t>
  </si>
  <si>
    <t xml:space="preserve">PRIORITARIOS </t>
  </si>
  <si>
    <t>PREFERENTES</t>
  </si>
  <si>
    <t>PROPORCION INGRESOS</t>
  </si>
  <si>
    <t>MONTO ASIGNADO AC</t>
  </si>
  <si>
    <t>B24</t>
  </si>
  <si>
    <t>E403</t>
  </si>
  <si>
    <t>E414</t>
  </si>
  <si>
    <t>E417</t>
  </si>
  <si>
    <t>E424</t>
  </si>
  <si>
    <t>F409</t>
  </si>
  <si>
    <t>G446</t>
  </si>
  <si>
    <t>F375</t>
  </si>
  <si>
    <t>F405</t>
  </si>
  <si>
    <t>F407</t>
  </si>
  <si>
    <t>F413</t>
  </si>
  <si>
    <t>F425</t>
  </si>
  <si>
    <t>F426</t>
  </si>
  <si>
    <t>F428</t>
  </si>
  <si>
    <t>G389</t>
  </si>
  <si>
    <t>G394</t>
  </si>
  <si>
    <t>G410</t>
  </si>
  <si>
    <t>G412</t>
  </si>
  <si>
    <t>G416</t>
  </si>
  <si>
    <t>G418</t>
  </si>
  <si>
    <t>G419</t>
  </si>
  <si>
    <t>G429</t>
  </si>
  <si>
    <t>G433</t>
  </si>
  <si>
    <t>G469</t>
  </si>
  <si>
    <t>CEIA</t>
  </si>
  <si>
    <t>SEPTEIMBRE</t>
  </si>
  <si>
    <t>SEPTIEMRBE</t>
  </si>
  <si>
    <t xml:space="preserve">AC </t>
  </si>
  <si>
    <t>SUBVENCION</t>
  </si>
  <si>
    <t>INGRESO</t>
  </si>
  <si>
    <t>prioritarios</t>
  </si>
  <si>
    <t>preferentes</t>
  </si>
  <si>
    <t>PRIORITARIO</t>
  </si>
  <si>
    <t>10% AC SEP</t>
  </si>
  <si>
    <t>SUBVENCION FINAL</t>
  </si>
  <si>
    <t>SUBVENCION TOTAL</t>
  </si>
  <si>
    <t>SITUACION SEP CONSIDERANDO 10% AC SEP</t>
  </si>
  <si>
    <t>SALDOS AL 31/10/2022</t>
  </si>
  <si>
    <t>INGRESOS PROYECTADOS A DIC</t>
  </si>
  <si>
    <t>GASTOS A OCTUBRE</t>
  </si>
  <si>
    <t>SUELDOS NOV-DIC</t>
  </si>
  <si>
    <t>PROYECCION SEP A DIC22</t>
  </si>
  <si>
    <t>SALDO INICIAL</t>
  </si>
  <si>
    <t>MONTO</t>
  </si>
  <si>
    <t>27-30</t>
  </si>
  <si>
    <t>76-74-77-69-73-75</t>
  </si>
  <si>
    <t>42-43</t>
  </si>
  <si>
    <t>74-73-75</t>
  </si>
  <si>
    <t>85-82-84-83-86-88-87-91-89-90</t>
  </si>
  <si>
    <t>69-71-75-78-77-73-72</t>
  </si>
  <si>
    <t>246-248-241-245-247</t>
  </si>
  <si>
    <t>265-263-309-281-308-301-306-307-310-270-315-318-319--320-317-312-313-314</t>
  </si>
  <si>
    <t>86-83-88-87-84-85-82-90-FDO A RENDIR-89-90-93</t>
  </si>
  <si>
    <t>385-388-391-395-398-394-393</t>
  </si>
  <si>
    <t>57-56</t>
  </si>
  <si>
    <t>%</t>
  </si>
  <si>
    <t>REMUNERACIONES</t>
  </si>
  <si>
    <t>REMUNERACION</t>
  </si>
  <si>
    <t>AC 10%</t>
  </si>
  <si>
    <t>DIRECTOR: RICARDO BRAVO</t>
  </si>
  <si>
    <t>DIRECTOR: JACQUELINE GUZMAN</t>
  </si>
  <si>
    <t>Director: STEFANIE FAUNDEZ</t>
  </si>
  <si>
    <t xml:space="preserve">DIRECTOR:  PAULA MEZA </t>
  </si>
  <si>
    <t>DIRECTOR: MARCELO ALFARO</t>
  </si>
  <si>
    <t>DIRECTOR: FLORIN URIBE</t>
  </si>
  <si>
    <t xml:space="preserve">   </t>
  </si>
  <si>
    <t>DIRECTOR:  CARMEN MARTINEZ</t>
  </si>
  <si>
    <t>EJECUCION</t>
  </si>
  <si>
    <t>REMUNERACIONES APROX</t>
  </si>
  <si>
    <t>RR.HH.</t>
  </si>
  <si>
    <t>BNS Y SERV</t>
  </si>
  <si>
    <t>10% ADM</t>
  </si>
  <si>
    <t>ANUAL</t>
  </si>
  <si>
    <t>DIRECTOR: MATIAS VALENZUELA</t>
  </si>
  <si>
    <t xml:space="preserve">  </t>
  </si>
  <si>
    <t>DIF DICIEMBRE</t>
  </si>
  <si>
    <t xml:space="preserve">TRASLADO </t>
  </si>
  <si>
    <t xml:space="preserve">DIRECTOR: PATRICIO YAÑEZ </t>
  </si>
  <si>
    <t>REMUNERACIONES APROX JULIO</t>
  </si>
  <si>
    <t xml:space="preserve">TRANSPORTE </t>
  </si>
  <si>
    <t xml:space="preserve"> </t>
  </si>
  <si>
    <t xml:space="preserve">MARZO </t>
  </si>
  <si>
    <t xml:space="preserve">JUNIO </t>
  </si>
  <si>
    <t xml:space="preserve">JULIO </t>
  </si>
  <si>
    <t xml:space="preserve">AGOSTO </t>
  </si>
  <si>
    <t xml:space="preserve">SEPTIEMBRE </t>
  </si>
  <si>
    <t xml:space="preserve">FEBRERO </t>
  </si>
  <si>
    <t xml:space="preserve">REMUNERACIONES </t>
  </si>
  <si>
    <t xml:space="preserve">MAYO </t>
  </si>
  <si>
    <t xml:space="preserve">OCTUBRE </t>
  </si>
  <si>
    <t xml:space="preserve">DIRECTOR:  SUSANA MOYA </t>
  </si>
  <si>
    <t xml:space="preserve">NOVIEMBRE </t>
  </si>
  <si>
    <t xml:space="preserve">FONDO POR RENDIR  </t>
  </si>
  <si>
    <t>SALDO SEP 2025</t>
  </si>
  <si>
    <t>SALDO 2025</t>
  </si>
  <si>
    <t>2321-459-AG25</t>
  </si>
  <si>
    <t xml:space="preserve">MATERIALES OFICINA </t>
  </si>
  <si>
    <t xml:space="preserve">LIBRERÍA </t>
  </si>
  <si>
    <t>2321-445-AG25</t>
  </si>
  <si>
    <t xml:space="preserve">COLACIONES </t>
  </si>
  <si>
    <t>2321-477-AG25</t>
  </si>
  <si>
    <t xml:space="preserve">TRASPORTE </t>
  </si>
  <si>
    <t>TRASLADO</t>
  </si>
  <si>
    <t>2321-461-AG25</t>
  </si>
  <si>
    <t>MATERIALES  ENSEÑANZA</t>
  </si>
  <si>
    <t>TALLERES</t>
  </si>
  <si>
    <t>2321-480-AG25</t>
  </si>
  <si>
    <t>MATERIAL ENSEÑANZA</t>
  </si>
  <si>
    <t>LIBROS</t>
  </si>
  <si>
    <t xml:space="preserve">2321-478-AG25 </t>
  </si>
  <si>
    <t xml:space="preserve">MATERIALE ENSEÑANZA </t>
  </si>
  <si>
    <t xml:space="preserve">EQUIPO COMPUTACIONEALES </t>
  </si>
  <si>
    <t xml:space="preserve">2321-4-AG26 </t>
  </si>
  <si>
    <t>2321-2-AG26</t>
  </si>
  <si>
    <t>2321-7-AG25</t>
  </si>
  <si>
    <t xml:space="preserve">MATERIALES DE OFICINA </t>
  </si>
  <si>
    <t>2321-11-AG26</t>
  </si>
  <si>
    <t xml:space="preserve">EQUIPO COMPUTACIONALES </t>
  </si>
  <si>
    <t xml:space="preserve">IMPRESORA </t>
  </si>
  <si>
    <t xml:space="preserve">EDUC. ASISTENCIAL SOCIAL </t>
  </si>
  <si>
    <t xml:space="preserve">EDUC. FINANZAS </t>
  </si>
  <si>
    <t>JUNJI</t>
  </si>
  <si>
    <t xml:space="preserve">EDUC. OF PARTE </t>
  </si>
  <si>
    <t xml:space="preserve">LIBROS PARA ALUMNOS </t>
  </si>
  <si>
    <t xml:space="preserve">MATERIALES ENSEÑANZA </t>
  </si>
  <si>
    <t>2321-10-AG26</t>
  </si>
  <si>
    <t xml:space="preserve">MATERIAL OFICINA </t>
  </si>
  <si>
    <t xml:space="preserve">INSUMOS COMPUTACIONALES </t>
  </si>
  <si>
    <t xml:space="preserve">TINTAS </t>
  </si>
  <si>
    <t xml:space="preserve">MATERIALES DE ENSEÑANZA </t>
  </si>
  <si>
    <t>MATERIALES ENSEÑANZA</t>
  </si>
  <si>
    <t xml:space="preserve">LIBROS </t>
  </si>
  <si>
    <t>ARRIENDO</t>
  </si>
  <si>
    <t xml:space="preserve">ARRIENDO TALLERES DICIEMBRE </t>
  </si>
  <si>
    <t>ARRIENDO TALLERES MARZO</t>
  </si>
  <si>
    <t xml:space="preserve">INSUMO COMPUTACIONALES </t>
  </si>
  <si>
    <t xml:space="preserve">INSUMO COMPUTACIONES </t>
  </si>
  <si>
    <t xml:space="preserve">LIBROS  TRAZOS Y LETRAS </t>
  </si>
  <si>
    <t xml:space="preserve">TONER </t>
  </si>
  <si>
    <t>MATERIALES</t>
  </si>
  <si>
    <t>PREMIOS</t>
  </si>
  <si>
    <t xml:space="preserve">MATERIALES </t>
  </si>
  <si>
    <t>2321-49-AG26</t>
  </si>
  <si>
    <t xml:space="preserve">AIRE ACONDICIONADO </t>
  </si>
  <si>
    <t xml:space="preserve">MOBILIARIO Y OTROS </t>
  </si>
  <si>
    <t xml:space="preserve">ABASTECIMIENTO </t>
  </si>
  <si>
    <t xml:space="preserve">MATERIALES PARVULO TALLER </t>
  </si>
  <si>
    <t xml:space="preserve">VENTILADOR DE TAMBOR </t>
  </si>
  <si>
    <t xml:space="preserve">MATERIALES TALLER AGROPECUARIA  </t>
  </si>
  <si>
    <t>LICENCIA SOFWARE</t>
  </si>
  <si>
    <t xml:space="preserve">VESTUARIO </t>
  </si>
  <si>
    <t xml:space="preserve">VESTUARIO DEPORTIVO </t>
  </si>
  <si>
    <t xml:space="preserve">EQUIPO DE OFICINA </t>
  </si>
  <si>
    <t xml:space="preserve">TERMOLAMINADORA </t>
  </si>
  <si>
    <t xml:space="preserve">MATERIALES DIDACTICOS </t>
  </si>
  <si>
    <t xml:space="preserve">EQUIPO DE OFICNA </t>
  </si>
  <si>
    <t xml:space="preserve">CONSUMO </t>
  </si>
  <si>
    <t xml:space="preserve">MATERIALES TALLER GASTRONOMIA </t>
  </si>
  <si>
    <t xml:space="preserve">MATERIALES TALLER ELECTRICIDAD </t>
  </si>
  <si>
    <t xml:space="preserve">TAMBOR </t>
  </si>
  <si>
    <t xml:space="preserve">INSUMOS COMPUTACIONES </t>
  </si>
  <si>
    <t xml:space="preserve">MATERIALES TALLER CONSTRUCCION </t>
  </si>
  <si>
    <t>MANTENCION EQUIPO</t>
  </si>
  <si>
    <t xml:space="preserve">APP COMUNICACIÓN ES COLAR </t>
  </si>
  <si>
    <t xml:space="preserve">INSUMO COMPUTACIONEALES </t>
  </si>
  <si>
    <t xml:space="preserve">TINTAS - TONER </t>
  </si>
  <si>
    <t xml:space="preserve">GASTOS MENORES </t>
  </si>
  <si>
    <t xml:space="preserve">ALARGADORES </t>
  </si>
  <si>
    <t xml:space="preserve">CEIA </t>
  </si>
  <si>
    <t>2321-55-AG26</t>
  </si>
  <si>
    <t>2321-56-AG26</t>
  </si>
  <si>
    <t>2321-54-AG26</t>
  </si>
  <si>
    <t xml:space="preserve">NOTEBOOK </t>
  </si>
  <si>
    <t xml:space="preserve">TELA PVC - TALLER </t>
  </si>
  <si>
    <t xml:space="preserve">EQUIPO OFICINA </t>
  </si>
  <si>
    <t xml:space="preserve">FONDO A RENDIR </t>
  </si>
  <si>
    <t xml:space="preserve">ARRIENDO IMPRESORA </t>
  </si>
  <si>
    <t xml:space="preserve">TABLET </t>
  </si>
  <si>
    <t xml:space="preserve">ESTANTE PARVULO </t>
  </si>
  <si>
    <t xml:space="preserve">PLATAFORMA </t>
  </si>
  <si>
    <t>GASTOS MENORES</t>
  </si>
  <si>
    <t xml:space="preserve">LIENZO- PENDON - PIOCHA </t>
  </si>
  <si>
    <t xml:space="preserve">ROTULADOR </t>
  </si>
  <si>
    <t>INTERNET</t>
  </si>
  <si>
    <t xml:space="preserve">INTERNET </t>
  </si>
  <si>
    <t xml:space="preserve">ARRIENDO </t>
  </si>
  <si>
    <t>ARRIENDO DAEM</t>
  </si>
  <si>
    <t xml:space="preserve">ARRIENDO TALLERES ABRIL </t>
  </si>
  <si>
    <t>SET MALLA TALLER DEPORTE</t>
  </si>
  <si>
    <t xml:space="preserve">MATERIALES ARTES </t>
  </si>
  <si>
    <t xml:space="preserve">ARRIENDO TALLERES MAYO </t>
  </si>
  <si>
    <t>ARRIENDO TALLERES JUNIO</t>
  </si>
  <si>
    <t>ARRIENDO TALLERES JULIO</t>
  </si>
  <si>
    <t>TORTA</t>
  </si>
  <si>
    <t xml:space="preserve">2321-69-AG26 </t>
  </si>
  <si>
    <t xml:space="preserve">PASANTIA LIVERPOOL </t>
  </si>
  <si>
    <t>23-03-206</t>
  </si>
  <si>
    <t xml:space="preserve">BATERIAS EVALUA </t>
  </si>
  <si>
    <t>GERONIMO LAGOS LISBOA</t>
  </si>
  <si>
    <t xml:space="preserve">     </t>
  </si>
  <si>
    <t>2321-80-AG26</t>
  </si>
  <si>
    <t>2321-81-AG26</t>
  </si>
  <si>
    <t>2321-65-AG26</t>
  </si>
  <si>
    <t>2321-71-AG26</t>
  </si>
  <si>
    <t>2321-68-AG26</t>
  </si>
  <si>
    <t>2321-74 AG26</t>
  </si>
  <si>
    <t xml:space="preserve">RESMAS </t>
  </si>
  <si>
    <t>LAPTOP</t>
  </si>
  <si>
    <t>INSUMO GASTRONOMICOS</t>
  </si>
  <si>
    <t xml:space="preserve">JUEGO AJEDREZ </t>
  </si>
  <si>
    <t xml:space="preserve">PREMIOS </t>
  </si>
  <si>
    <t>ABASTECIMIENTO</t>
  </si>
  <si>
    <t xml:space="preserve">INSTRUMENTO MUSICALES </t>
  </si>
  <si>
    <t>207-208</t>
  </si>
  <si>
    <t xml:space="preserve">JUEGO DIDACTICOS </t>
  </si>
  <si>
    <t xml:space="preserve">MANTENCION EQUIPO </t>
  </si>
  <si>
    <t xml:space="preserve">TEXTILES </t>
  </si>
  <si>
    <t>RESMA</t>
  </si>
  <si>
    <t>2321-88-AG26</t>
  </si>
  <si>
    <t>2321-86-AG26</t>
  </si>
  <si>
    <t>2321-85-AG26</t>
  </si>
  <si>
    <t>2321-79-AG26</t>
  </si>
  <si>
    <t xml:space="preserve">SERVICIO DE HOSPEDAJE </t>
  </si>
  <si>
    <t xml:space="preserve">FRANCESES </t>
  </si>
  <si>
    <t xml:space="preserve">NULA </t>
  </si>
  <si>
    <t>2321-76-AG26</t>
  </si>
  <si>
    <t>2321-89-AG26</t>
  </si>
  <si>
    <t>2321-6-AG26</t>
  </si>
  <si>
    <t>MATERIAL DE ENSEÑANZA</t>
  </si>
  <si>
    <t>2321-93-AG26</t>
  </si>
  <si>
    <t>2123-97-AG26</t>
  </si>
  <si>
    <t xml:space="preserve">MATERIAL DE ENSEÑANZA </t>
  </si>
  <si>
    <t xml:space="preserve">JUEGO PEDAGOGICOS </t>
  </si>
  <si>
    <t xml:space="preserve">INSTRUMENTOS MUSICALES </t>
  </si>
  <si>
    <t xml:space="preserve">MARERIAL DE ENSEÑAZA </t>
  </si>
  <si>
    <t xml:space="preserve">BATERIAS </t>
  </si>
  <si>
    <t>MATERILAES ENSEÑANZA</t>
  </si>
  <si>
    <t xml:space="preserve">EQUIPO </t>
  </si>
  <si>
    <t xml:space="preserve">AIRE ACONDICINADO </t>
  </si>
  <si>
    <t xml:space="preserve">PASANTIA FRANCESES </t>
  </si>
  <si>
    <t>2321-90-AG 26</t>
  </si>
  <si>
    <t>INSTRUMENTO MUSICALES</t>
  </si>
  <si>
    <t>MATERIALES DE ENSEÑANZA</t>
  </si>
  <si>
    <t xml:space="preserve">BALONES TALLER DEPORTIVO </t>
  </si>
  <si>
    <t xml:space="preserve">TALLER CONSTRUCCION </t>
  </si>
  <si>
    <t>268-269</t>
  </si>
  <si>
    <t xml:space="preserve">TALLER PARVULO </t>
  </si>
  <si>
    <t>2321-100-TD26</t>
  </si>
  <si>
    <t>2321-53-AG26</t>
  </si>
  <si>
    <t xml:space="preserve">MOBILIARIO </t>
  </si>
  <si>
    <t xml:space="preserve">BANCA CAMARIN </t>
  </si>
  <si>
    <t xml:space="preserve">TRASNPORTE </t>
  </si>
  <si>
    <t xml:space="preserve">IMPRESORA- TINTAS </t>
  </si>
  <si>
    <t xml:space="preserve">OTROS SERVICIOS </t>
  </si>
  <si>
    <t xml:space="preserve">DIFUCIIÓN </t>
  </si>
  <si>
    <t xml:space="preserve">JUEGOS DIDACTICOS PEGAGOGICOS </t>
  </si>
  <si>
    <t>297-298</t>
  </si>
  <si>
    <t xml:space="preserve">PROYECTOR </t>
  </si>
  <si>
    <t xml:space="preserve">RESMAS OPALINA </t>
  </si>
  <si>
    <t xml:space="preserve">TECLADO - MAUSE </t>
  </si>
  <si>
    <t xml:space="preserve">    </t>
  </si>
  <si>
    <t xml:space="preserve">TRAJE FLOLCLORICO TALLER </t>
  </si>
  <si>
    <t xml:space="preserve">BUZO DEPORTIVO TALLER </t>
  </si>
  <si>
    <t xml:space="preserve">IMPLEMENTOS DEPORTIVO TALLER </t>
  </si>
  <si>
    <t xml:space="preserve">ESTANTE PARA TALLER </t>
  </si>
  <si>
    <t xml:space="preserve">JUEGOS </t>
  </si>
  <si>
    <t>2321-112-AG26</t>
  </si>
  <si>
    <t>2321-109-AG26</t>
  </si>
  <si>
    <t>2123-117-AG26</t>
  </si>
  <si>
    <t>DAEM</t>
  </si>
  <si>
    <t>2321-120-AG26</t>
  </si>
  <si>
    <t>2321-92-AG26</t>
  </si>
  <si>
    <t>2321-121-AG26</t>
  </si>
  <si>
    <t xml:space="preserve">MANTENCION Y REPARACION IMPRESORA </t>
  </si>
  <si>
    <t>2321-110-AG26</t>
  </si>
  <si>
    <t>2321-123-AG26</t>
  </si>
  <si>
    <t>2321-119-AG26</t>
  </si>
  <si>
    <t xml:space="preserve">COMPRA DE ESTUFA </t>
  </si>
  <si>
    <t xml:space="preserve">MICROFONO -PARLANTES </t>
  </si>
  <si>
    <t xml:space="preserve">INSUMO COMPUTRACIONALES </t>
  </si>
  <si>
    <t xml:space="preserve">ESTUFA </t>
  </si>
  <si>
    <t xml:space="preserve">COLACIONE </t>
  </si>
  <si>
    <t xml:space="preserve">OTROS GASTOS </t>
  </si>
  <si>
    <t xml:space="preserve">GLOBOS </t>
  </si>
  <si>
    <t>TRASLADOS</t>
  </si>
  <si>
    <t xml:space="preserve">MATERIALES CONSTRUCCION </t>
  </si>
  <si>
    <t>CIA</t>
  </si>
  <si>
    <t xml:space="preserve">MOBILIARIA </t>
  </si>
  <si>
    <t xml:space="preserve">PARLANTE </t>
  </si>
  <si>
    <t>DIRECCION DE EDUCACION</t>
  </si>
  <si>
    <t xml:space="preserve">TOTAL </t>
  </si>
  <si>
    <t>2321-115-AG26</t>
  </si>
  <si>
    <t>2321-107-AG26</t>
  </si>
  <si>
    <t>2321-116-AG26</t>
  </si>
  <si>
    <t xml:space="preserve">REPARACION EQUIPO </t>
  </si>
  <si>
    <t xml:space="preserve">MANTECION EQUIPO OFICINA </t>
  </si>
  <si>
    <t>PLATAFORMA  7.680.000 / 1 CUOTAS</t>
  </si>
  <si>
    <t xml:space="preserve">SERVICIO DE AMPLIFICADOR </t>
  </si>
  <si>
    <t xml:space="preserve">EQUIPO DE AMPLIFICADOR </t>
  </si>
  <si>
    <t>24-25</t>
  </si>
  <si>
    <t>409-410</t>
  </si>
  <si>
    <t>27-28-29-30-31-32</t>
  </si>
  <si>
    <t xml:space="preserve">IMPLEMENTOS DE DEPORTE </t>
  </si>
  <si>
    <t xml:space="preserve">ESTAMPADOS </t>
  </si>
  <si>
    <t>2321-134-AG26</t>
  </si>
  <si>
    <t>2321-136-AG26</t>
  </si>
  <si>
    <t>TRANSPORTE</t>
  </si>
  <si>
    <t xml:space="preserve">IMPLEMENTO DEPORTIVO </t>
  </si>
  <si>
    <t>2321-140-AG26</t>
  </si>
  <si>
    <t>49-50-51</t>
  </si>
  <si>
    <t xml:space="preserve">2321-108-TD26 </t>
  </si>
  <si>
    <t>2321-133-AG26</t>
  </si>
  <si>
    <t xml:space="preserve">2321-129-AG26 </t>
  </si>
  <si>
    <t xml:space="preserve">PANTALLAS INTERACTIVAS </t>
  </si>
  <si>
    <t>2321-128-SE26</t>
  </si>
  <si>
    <t>LIBRERÍA</t>
  </si>
  <si>
    <t>2321-151-AG26</t>
  </si>
  <si>
    <t>2321-141-AG26</t>
  </si>
  <si>
    <t xml:space="preserve">PASANTIA ARGENTINA </t>
  </si>
  <si>
    <t xml:space="preserve">SHOW TEATRAL </t>
  </si>
  <si>
    <t>29-05--26</t>
  </si>
  <si>
    <t xml:space="preserve">2321-135-AG26 </t>
  </si>
  <si>
    <t xml:space="preserve">EQUIPOS COMPUTACIONALES </t>
  </si>
  <si>
    <t>G-399</t>
  </si>
  <si>
    <t xml:space="preserve">COMPRA DE BUZOS DPORTIVO </t>
  </si>
  <si>
    <t xml:space="preserve">VESTUARIO  </t>
  </si>
  <si>
    <t xml:space="preserve">LIENZO </t>
  </si>
  <si>
    <t>TRASPORTE</t>
  </si>
  <si>
    <t xml:space="preserve">IMPRESORA MULTIFUNCIONAL </t>
  </si>
  <si>
    <t>2321-145-AG26</t>
  </si>
  <si>
    <t>2321-155-AG26</t>
  </si>
  <si>
    <t>2321-122-AG26</t>
  </si>
  <si>
    <t xml:space="preserve">INSUMO TALLER </t>
  </si>
  <si>
    <t>17-18</t>
  </si>
  <si>
    <t xml:space="preserve">IMPLEMENTOS DEPORTIVOS </t>
  </si>
  <si>
    <t>TRASLADO STGO</t>
  </si>
  <si>
    <t xml:space="preserve">FOTOCOPIAS </t>
  </si>
  <si>
    <t>529-530</t>
  </si>
  <si>
    <t>536-537</t>
  </si>
  <si>
    <t>INSUMO COMPUTACIONALES</t>
  </si>
  <si>
    <t>TINTAS</t>
  </si>
  <si>
    <t xml:space="preserve">MEMORIA- BATERIA </t>
  </si>
  <si>
    <t xml:space="preserve">GENEROS </t>
  </si>
  <si>
    <t>2321-158-AG236</t>
  </si>
  <si>
    <t xml:space="preserve">FINANZAS </t>
  </si>
  <si>
    <t xml:space="preserve">NOTEBOOK  E IMPRESORA </t>
  </si>
  <si>
    <t xml:space="preserve">BALON DE FUTBON </t>
  </si>
  <si>
    <t>2321-149-AG26</t>
  </si>
  <si>
    <t>2321-165-AG26</t>
  </si>
  <si>
    <t>SILLAS</t>
  </si>
  <si>
    <t>2321-167-AG26</t>
  </si>
  <si>
    <t>FINANZAS</t>
  </si>
  <si>
    <t xml:space="preserve">FINANZAS- PROF. GERARDO </t>
  </si>
  <si>
    <t>TORTAS</t>
  </si>
  <si>
    <t xml:space="preserve">MICROFONO </t>
  </si>
  <si>
    <t>2321-179-AG26</t>
  </si>
  <si>
    <t>2321-177-AG26</t>
  </si>
  <si>
    <t>2321-184-AG26</t>
  </si>
  <si>
    <t>GALVANOS</t>
  </si>
  <si>
    <t xml:space="preserve">FINANZAS - JUNJI </t>
  </si>
  <si>
    <t>128-129-130</t>
  </si>
  <si>
    <t xml:space="preserve">TELAS </t>
  </si>
  <si>
    <t xml:space="preserve">TALLER GASTRONOMIA </t>
  </si>
  <si>
    <t>PENDON ROLLER</t>
  </si>
  <si>
    <t>COLACIONES</t>
  </si>
  <si>
    <t>TELAS</t>
  </si>
  <si>
    <t>UTP</t>
  </si>
  <si>
    <t>WISC PACK 100 TEST</t>
  </si>
  <si>
    <t>NULA</t>
  </si>
  <si>
    <t>SUB. DAEM</t>
  </si>
  <si>
    <t>2321-182-AG26</t>
  </si>
  <si>
    <t>2321-183-AG26</t>
  </si>
  <si>
    <t>2321-176-AG26</t>
  </si>
  <si>
    <t>RESMAS</t>
  </si>
  <si>
    <t>MATERIAL DE OFICINA</t>
  </si>
  <si>
    <t>MEDALLAS</t>
  </si>
  <si>
    <t>INSUMOS COMPUTACIONALES</t>
  </si>
  <si>
    <t>20-21</t>
  </si>
  <si>
    <t>631-632</t>
  </si>
  <si>
    <t>MATERIAL DIDACTICO</t>
  </si>
  <si>
    <t>INSUMOS CLASES GASTRONOMIA</t>
  </si>
  <si>
    <t>PASAJES</t>
  </si>
  <si>
    <t>PASANTIA AGROPECUARIA A FRANCIA</t>
  </si>
  <si>
    <t>MATERIALES DIDACTICOS PSICOLOGAS</t>
  </si>
  <si>
    <t>CAPACITACION</t>
  </si>
  <si>
    <t>CURSO ALEMAN DOCENTE Y ALUMNOS</t>
  </si>
  <si>
    <t>TEST WISC</t>
  </si>
  <si>
    <t>MATERIALES LIBRERÍA</t>
  </si>
  <si>
    <t>MATERIALES PINTURAS G-416</t>
  </si>
  <si>
    <t>LIBRERÍA CEIA</t>
  </si>
  <si>
    <t>VESTUARIO</t>
  </si>
  <si>
    <t xml:space="preserve">BUZOS </t>
  </si>
  <si>
    <t>14 COLACIONES ALUMNOS VOLEIBOL</t>
  </si>
  <si>
    <t>2321-192-AG26</t>
  </si>
  <si>
    <t>MATERIALES ARTISTICOS</t>
  </si>
  <si>
    <t>INSMOS TALLER COCINA</t>
  </si>
  <si>
    <t>MATERIAL OFICINA</t>
  </si>
  <si>
    <t>TAMBOR</t>
  </si>
  <si>
    <t>IMPLEMENTOS DEPORTIVOS</t>
  </si>
  <si>
    <t>EQUIPAMIENTO</t>
  </si>
  <si>
    <t>IMPRESORAS</t>
  </si>
  <si>
    <t>CONECTORES ROUTER Y OTROS</t>
  </si>
  <si>
    <t>MATERIALES ARTES</t>
  </si>
  <si>
    <t>MANTENCION EQUIPOS</t>
  </si>
  <si>
    <t>TAMBOR FOTOCOPIADORA</t>
  </si>
  <si>
    <t>INSUMOS TALLER GASTRONOMIA</t>
  </si>
  <si>
    <t>IMPLEMENTOS TALLER AGROPECUARIA</t>
  </si>
  <si>
    <t>BLOCK GOMA EVA ETC</t>
  </si>
  <si>
    <t>OPALINA PLUMONES ETC</t>
  </si>
  <si>
    <t>MATERIALES MANUALIDADES</t>
  </si>
  <si>
    <t>MAT DEPORTIVOS</t>
  </si>
  <si>
    <t>MOBILIARIO</t>
  </si>
  <si>
    <t>ESTUFA</t>
  </si>
  <si>
    <t>OPALINA</t>
  </si>
  <si>
    <t>MAT TALLER PROGRAMACION</t>
  </si>
  <si>
    <t>TERMOLAMINAS</t>
  </si>
  <si>
    <t>MAT PARVULOS</t>
  </si>
  <si>
    <t>TONER Y TINTAS</t>
  </si>
  <si>
    <t>MAT DIDACTICOS</t>
  </si>
  <si>
    <t>TRAJES NORTE</t>
  </si>
  <si>
    <t>ARTES</t>
  </si>
  <si>
    <t>TONER</t>
  </si>
  <si>
    <t>PROGRAMAS</t>
  </si>
  <si>
    <t>PROGRAMA CLAUDE MAX</t>
  </si>
  <si>
    <t>TABLET</t>
  </si>
  <si>
    <t>PASAPORTES</t>
  </si>
  <si>
    <t>2321-160-TD26</t>
  </si>
  <si>
    <t>PENDONES</t>
  </si>
  <si>
    <t xml:space="preserve">TARSLADO </t>
  </si>
  <si>
    <t>TRAJES RAPA NUI</t>
  </si>
  <si>
    <t>CABLES HDMI</t>
  </si>
  <si>
    <t>MATERIALES TALLER COCINA</t>
  </si>
  <si>
    <t>MICAS TERMOLAMINAS</t>
  </si>
  <si>
    <t>INSUMOS TALLER DANZA</t>
  </si>
  <si>
    <t>INSUOS TALLER HUERTO SUSTENTABLE</t>
  </si>
  <si>
    <t xml:space="preserve">MATERIAL DE OFICINA  </t>
  </si>
  <si>
    <t>OFICINA ABASTECIMIENTO</t>
  </si>
  <si>
    <t>IMPLEMENTOS TALLER ESCALADA</t>
  </si>
  <si>
    <t>TRASLADO A STGO</t>
  </si>
  <si>
    <t>MANUALIDADES ARTES</t>
  </si>
  <si>
    <t>2321-169-AG26</t>
  </si>
  <si>
    <t xml:space="preserve">ARRIENDO IMPRESORA CUOTA </t>
  </si>
  <si>
    <t>2321-164-ag26</t>
  </si>
  <si>
    <t>2321-223-AG26</t>
  </si>
  <si>
    <t>2321-205-SE26</t>
  </si>
  <si>
    <t>2321-220-AG26</t>
  </si>
  <si>
    <t>2321-193-AG26</t>
  </si>
  <si>
    <t>2321-154-TD26</t>
  </si>
  <si>
    <t>2321-153-TD26</t>
  </si>
  <si>
    <t>2321-144-TD26</t>
  </si>
  <si>
    <t>2321-204-AG26</t>
  </si>
  <si>
    <t>2321-201-AG26</t>
  </si>
  <si>
    <t>2321-213-AG26</t>
  </si>
  <si>
    <t>2321-212-AG26</t>
  </si>
  <si>
    <t>2321-207-AG26</t>
  </si>
  <si>
    <t>2321-206-AG26</t>
  </si>
  <si>
    <t>2321-203-AG26</t>
  </si>
  <si>
    <t>2321-202-AG26</t>
  </si>
  <si>
    <t>2321-199-AG26</t>
  </si>
  <si>
    <t>2321-197-AG26</t>
  </si>
  <si>
    <t>MANUALIDADES</t>
  </si>
  <si>
    <t>INSUMOS TALLER HUERTO</t>
  </si>
  <si>
    <t>JUEGOS</t>
  </si>
  <si>
    <t>TARSLADO</t>
  </si>
  <si>
    <t>ARRIENDO JUEGOS INFLABLES</t>
  </si>
  <si>
    <t>BALON DE FUTBOL</t>
  </si>
  <si>
    <t xml:space="preserve">CASACAS </t>
  </si>
  <si>
    <t>MAQUINA ESÍRALERA METALICA</t>
  </si>
  <si>
    <t>ACCESORIOS COMPUTACIONALES</t>
  </si>
  <si>
    <t>29-02-26</t>
  </si>
  <si>
    <t>IMPRESORA</t>
  </si>
  <si>
    <t>INSUMOS MANEJO SUELO</t>
  </si>
  <si>
    <t xml:space="preserve">AGUA </t>
  </si>
  <si>
    <t>AGUA</t>
  </si>
  <si>
    <t>JUEGOS INFLABLES</t>
  </si>
  <si>
    <t>JUEGOS INFLABLE</t>
  </si>
  <si>
    <t>TELEVISOR</t>
  </si>
  <si>
    <t>CONVIVENCIA</t>
  </si>
  <si>
    <t>CUADERNO</t>
  </si>
  <si>
    <t>DISCO DESBASTE</t>
  </si>
  <si>
    <t>MAT TALLER BAILE</t>
  </si>
  <si>
    <t>2321-233-AG26</t>
  </si>
  <si>
    <t>2321-231-AG26</t>
  </si>
  <si>
    <t>2321-227-AG26</t>
  </si>
  <si>
    <t>2321-232-AG26</t>
  </si>
  <si>
    <t>2321-228-AG26</t>
  </si>
  <si>
    <t>CAFÉ</t>
  </si>
  <si>
    <t>2321-226-TD26</t>
  </si>
  <si>
    <t>UTILES ESCOLARES</t>
  </si>
  <si>
    <t>2321-242-AG26</t>
  </si>
  <si>
    <t>2321-239-AG26</t>
  </si>
  <si>
    <t>UNIFORME PREMILITAR</t>
  </si>
  <si>
    <t>2321-238-AG26</t>
  </si>
  <si>
    <t>2321-243-AG26</t>
  </si>
  <si>
    <t>VISITA PEDAGOGICA</t>
  </si>
  <si>
    <t>2321-237-AG26</t>
  </si>
  <si>
    <t>BLOCK</t>
  </si>
  <si>
    <t>METALAFONO</t>
  </si>
  <si>
    <t>TONNER</t>
  </si>
  <si>
    <t xml:space="preserve">INSUMOS TALLER LABORATORIO ENOLOGICO </t>
  </si>
  <si>
    <t>HERRAMIENTAS CONSTRUCCIONES METALICAS</t>
  </si>
  <si>
    <t>EQUIPO</t>
  </si>
  <si>
    <t>LIBROS BIBLIOTECA</t>
  </si>
  <si>
    <t>PAPEL TERMICO</t>
  </si>
  <si>
    <t>44-45</t>
  </si>
  <si>
    <t>806-807</t>
  </si>
  <si>
    <t>CARTON FORRADO</t>
  </si>
  <si>
    <t>CORCHOS</t>
  </si>
  <si>
    <t>MULTIMETRO</t>
  </si>
  <si>
    <t>SEÑALETICA</t>
  </si>
  <si>
    <t>EQUIPO TALLER ESCALA</t>
  </si>
  <si>
    <t>INSUMOS TECNOLOGICOS</t>
  </si>
  <si>
    <t>2321-244-AG26</t>
  </si>
  <si>
    <t>2321-245-AG26</t>
  </si>
  <si>
    <t>2321-240-AG26</t>
  </si>
  <si>
    <t>2321-235-AG26</t>
  </si>
  <si>
    <t>MATERIAL TALLER ARTISTICO</t>
  </si>
  <si>
    <t>2321-234-AG26</t>
  </si>
  <si>
    <t>CONVIVENVIA</t>
  </si>
  <si>
    <t>INSUMO OFICINA</t>
  </si>
  <si>
    <t>INSUMOS OFICINA</t>
  </si>
  <si>
    <t>INSUMOS CONVIVENCIA</t>
  </si>
  <si>
    <t>CAPACITACION INTELIGENCIA ARTIFICIAL</t>
  </si>
  <si>
    <t>EQUIPOS TALLER AGROPECUARIA</t>
  </si>
  <si>
    <t xml:space="preserve">MATERIAL DE EXPOSICION </t>
  </si>
  <si>
    <t>INSUMOS TALLER MANUALIDADES</t>
  </si>
  <si>
    <t>COLACION</t>
  </si>
  <si>
    <t xml:space="preserve">JUEGOS TALLER DE CONTENCION </t>
  </si>
  <si>
    <t>INSUMOS TALLER DE PARVULO</t>
  </si>
  <si>
    <t xml:space="preserve">ESCUDO ACRILICO </t>
  </si>
  <si>
    <t xml:space="preserve">Director: PEDRO CACERES </t>
  </si>
  <si>
    <t>EMPANADAS</t>
  </si>
  <si>
    <t>ADORNOS Y VETIMENTAS</t>
  </si>
  <si>
    <t xml:space="preserve">MATERIAL TECNOLOGICO </t>
  </si>
  <si>
    <t>MOCHILAS</t>
  </si>
  <si>
    <t>CAJA CHICA</t>
  </si>
  <si>
    <t>TALLER DE COCINA</t>
  </si>
  <si>
    <t>INSUMOS TALLER ARTES</t>
  </si>
  <si>
    <t xml:space="preserve">ESTIMULOS </t>
  </si>
  <si>
    <t>SCANNER</t>
  </si>
  <si>
    <t>MATERIALE OFICINA</t>
  </si>
  <si>
    <t>ESTANTE</t>
  </si>
  <si>
    <t>INSUMOS TALLER COCINA</t>
  </si>
  <si>
    <t>BALONES FUTBOL</t>
  </si>
  <si>
    <t xml:space="preserve">ARTICULOS TALLER DEPORTIVO </t>
  </si>
  <si>
    <t xml:space="preserve">BALON FUTBOL </t>
  </si>
  <si>
    <t xml:space="preserve">TROVICEL </t>
  </si>
  <si>
    <t xml:space="preserve">AMPLIFICACION </t>
  </si>
  <si>
    <t>ANDAMIOS</t>
  </si>
  <si>
    <t>2321-258-AG26</t>
  </si>
  <si>
    <t>1365-1366</t>
  </si>
  <si>
    <t xml:space="preserve">ARRIENDO TALLERES </t>
  </si>
  <si>
    <t>2321-225-AG26</t>
  </si>
  <si>
    <t>2321-224-AG26</t>
  </si>
  <si>
    <t xml:space="preserve">2321-188-TD26 </t>
  </si>
  <si>
    <t>2321-187-TD26</t>
  </si>
  <si>
    <t>IMPLEMENTACION LABORATORIO ELECTRICIDAD</t>
  </si>
  <si>
    <t>2321-214-AG26</t>
  </si>
  <si>
    <t>PP</t>
  </si>
  <si>
    <t>33-34</t>
  </si>
  <si>
    <t>COFFE</t>
  </si>
  <si>
    <t>2321-186-TD26</t>
  </si>
  <si>
    <t>MATERIAL LIBERIA</t>
  </si>
  <si>
    <t>ELECTRODO</t>
  </si>
  <si>
    <t>BARRICAS ROBLE</t>
  </si>
  <si>
    <t>INSUMOS TALLER DE ARTES MUSICALES</t>
  </si>
  <si>
    <t xml:space="preserve">CURSO CERTIFICACION </t>
  </si>
  <si>
    <t>CURSO DGAC</t>
  </si>
  <si>
    <t>DE</t>
  </si>
  <si>
    <t>ANUARIO</t>
  </si>
  <si>
    <t>CARPETAS</t>
  </si>
  <si>
    <t>TALLER BUFFETT</t>
  </si>
  <si>
    <t>2321-261-AG26</t>
  </si>
  <si>
    <t>TINTA</t>
  </si>
  <si>
    <t>MATERIALES ACTIVIDADES PEDAGOGICAS</t>
  </si>
  <si>
    <t>PARLANTE</t>
  </si>
  <si>
    <t>ARTICULOS ESCOLARES</t>
  </si>
  <si>
    <t>MATERIAL LIBRERÍA</t>
  </si>
  <si>
    <t>POLAR</t>
  </si>
  <si>
    <t>PAPEL HIDROSENSIBLE</t>
  </si>
  <si>
    <t>CONSTRUCCION METALICAS</t>
  </si>
  <si>
    <t>2321-236-AG26</t>
  </si>
  <si>
    <t>2321-253-AG26</t>
  </si>
  <si>
    <t>2321-263-AG26</t>
  </si>
  <si>
    <t>TALLER MANUALIDADES</t>
  </si>
  <si>
    <t>INSUMOS ACTIVIDADES</t>
  </si>
  <si>
    <t xml:space="preserve">MATERIAL DECORATIVO </t>
  </si>
  <si>
    <t>DESPEDIDA 4TO MEDIO</t>
  </si>
  <si>
    <t>ALMUERZO</t>
  </si>
  <si>
    <t>FERIA CIENTIFICA</t>
  </si>
  <si>
    <t>ARRIENDO CARPAS</t>
  </si>
  <si>
    <t>INSUMOS FERIA CIENTIFICA</t>
  </si>
  <si>
    <t>PAJARITOS</t>
  </si>
  <si>
    <t>DIARIO MURAL</t>
  </si>
  <si>
    <t>BATERIA EVALUA</t>
  </si>
  <si>
    <t>VISITA BUIN ZOO</t>
  </si>
  <si>
    <t>ACTIVIDAD AIRE LIBRE</t>
  </si>
  <si>
    <t xml:space="preserve">BALONES </t>
  </si>
  <si>
    <t>INSUMOS LIBRERÍA</t>
  </si>
  <si>
    <t>INSUMOS TALLER DE CIENCIAS</t>
  </si>
  <si>
    <t>TALLER DE FOLCLOR</t>
  </si>
  <si>
    <t>2321-269-AG26</t>
  </si>
  <si>
    <t>2321-272-AG26</t>
  </si>
  <si>
    <t>2321-273-AG26</t>
  </si>
  <si>
    <t>2321-267-AG26</t>
  </si>
  <si>
    <t>2321-274-AG26</t>
  </si>
  <si>
    <t>2321-266-AG26</t>
  </si>
  <si>
    <t>2321-255-AG26</t>
  </si>
  <si>
    <t>2321-268-AG26</t>
  </si>
  <si>
    <t>COFFEE</t>
  </si>
  <si>
    <t>GENERO</t>
  </si>
  <si>
    <t xml:space="preserve">PRESENTACION </t>
  </si>
  <si>
    <t>PRESENTACION ARTISTICA</t>
  </si>
  <si>
    <t>2321-260-AG26</t>
  </si>
  <si>
    <t>2321-262-AG26</t>
  </si>
  <si>
    <t>UTILES ESCOLRES</t>
  </si>
  <si>
    <t>2321-279-TD26</t>
  </si>
  <si>
    <t>2321-270-AG26</t>
  </si>
  <si>
    <t>INSUMOS TALLER AGROPECUARIA</t>
  </si>
  <si>
    <t xml:space="preserve">COLACION </t>
  </si>
  <si>
    <t>VESTUARIO TIPICO</t>
  </si>
  <si>
    <t>BALON MEDICINAL</t>
  </si>
  <si>
    <t>2321-275-AG26</t>
  </si>
  <si>
    <t>GIFT CARD</t>
  </si>
  <si>
    <t>2321-281-AG26</t>
  </si>
  <si>
    <t>PERSONAL</t>
  </si>
  <si>
    <t>LIBROS PLAN LECTOR</t>
  </si>
  <si>
    <t>TALLER DE MUSICA</t>
  </si>
  <si>
    <t xml:space="preserve">PIZARRA MOVIL </t>
  </si>
  <si>
    <t xml:space="preserve">WISC-V </t>
  </si>
  <si>
    <t>2321-278-AG26</t>
  </si>
  <si>
    <t>2321-277-AG26</t>
  </si>
  <si>
    <t>2321-280-AG26</t>
  </si>
  <si>
    <t>PANTALLAS INTERACTIVAS</t>
  </si>
  <si>
    <t>PIZARRA ACRILICA</t>
  </si>
  <si>
    <t>LIENZO</t>
  </si>
  <si>
    <t>MOBILIARIO PLAN LECTOR</t>
  </si>
  <si>
    <t>ELASTICO</t>
  </si>
  <si>
    <t xml:space="preserve">INSUMOS FOTOCOPIADO </t>
  </si>
  <si>
    <t>TELA PVC</t>
  </si>
  <si>
    <t>ARRIENDO CORTINAJE</t>
  </si>
  <si>
    <t>EXAMEN 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</si>
</sst>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dd\-mm\-yy;@"/>
    <numFmt numFmtId="166" formatCode="_ * #,##0_ ;_ * \-#,##0_ ;_ * &quot;-&quot;??_ ;_ @_ "/>
    <numFmt numFmtId="167" formatCode="dd\-mm\-yyyy;@"/>
    <numFmt numFmtId="168" formatCode="#,##0_ ;[Red]\-#,##0\ 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Arial"/>
      <family val="2"/>
    </font>
    <font>
      <sz val="8"/>
      <color theme="1"/>
      <name val="Arial 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8" borderId="17" applyNumberFormat="0" applyAlignment="0" applyProtection="0"/>
    <xf numFmtId="0" fontId="25" fillId="9" borderId="18" applyNumberFormat="0" applyAlignment="0" applyProtection="0"/>
    <xf numFmtId="0" fontId="26" fillId="9" borderId="17" applyNumberFormat="0" applyAlignment="0" applyProtection="0"/>
    <xf numFmtId="0" fontId="27" fillId="0" borderId="19" applyNumberFormat="0" applyFill="0" applyAlignment="0" applyProtection="0"/>
    <xf numFmtId="0" fontId="28" fillId="10" borderId="20" applyNumberFormat="0" applyAlignment="0" applyProtection="0"/>
    <xf numFmtId="0" fontId="15" fillId="0" borderId="0" applyNumberFormat="0" applyFill="0" applyBorder="0" applyAlignment="0" applyProtection="0"/>
    <xf numFmtId="0" fontId="6" fillId="11" borderId="21" applyNumberFormat="0" applyFont="0" applyAlignment="0" applyProtection="0"/>
    <xf numFmtId="0" fontId="29" fillId="0" borderId="0" applyNumberFormat="0" applyFill="0" applyBorder="0" applyAlignment="0" applyProtection="0"/>
    <xf numFmtId="0" fontId="13" fillId="0" borderId="22" applyNumberFormat="0" applyFill="0" applyAlignment="0" applyProtection="0"/>
    <xf numFmtId="0" fontId="30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</cellStyleXfs>
  <cellXfs count="411">
    <xf numFmtId="0" fontId="0" fillId="0" borderId="0" xfId="0"/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3" fontId="0" fillId="0" borderId="1" xfId="0" applyNumberFormat="1" applyBorder="1"/>
    <xf numFmtId="0" fontId="5" fillId="0" borderId="0" xfId="0" applyFont="1"/>
    <xf numFmtId="0" fontId="7" fillId="0" borderId="0" xfId="1" applyFont="1"/>
    <xf numFmtId="166" fontId="7" fillId="0" borderId="0" xfId="5" applyNumberFormat="1" applyFont="1" applyFill="1"/>
    <xf numFmtId="0" fontId="8" fillId="0" borderId="0" xfId="0" applyFont="1"/>
    <xf numFmtId="3" fontId="7" fillId="0" borderId="1" xfId="1" applyNumberFormat="1" applyFont="1" applyBorder="1"/>
    <xf numFmtId="0" fontId="7" fillId="0" borderId="1" xfId="1" applyFont="1" applyBorder="1" applyAlignment="1">
      <alignment horizontal="center"/>
    </xf>
    <xf numFmtId="0" fontId="7" fillId="0" borderId="1" xfId="1" applyFont="1" applyBorder="1"/>
    <xf numFmtId="166" fontId="7" fillId="0" borderId="1" xfId="5" applyNumberFormat="1" applyFont="1" applyFill="1" applyBorder="1"/>
    <xf numFmtId="38" fontId="7" fillId="0" borderId="1" xfId="1" applyNumberFormat="1" applyFont="1" applyBorder="1"/>
    <xf numFmtId="0" fontId="9" fillId="0" borderId="0" xfId="1" applyFont="1"/>
    <xf numFmtId="166" fontId="8" fillId="0" borderId="0" xfId="5" applyNumberFormat="1" applyFont="1" applyFill="1"/>
    <xf numFmtId="0" fontId="9" fillId="0" borderId="1" xfId="1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left"/>
    </xf>
    <xf numFmtId="165" fontId="7" fillId="0" borderId="1" xfId="1" applyNumberFormat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11" fillId="0" borderId="0" xfId="0" applyFont="1"/>
    <xf numFmtId="0" fontId="7" fillId="0" borderId="0" xfId="0" applyFont="1"/>
    <xf numFmtId="0" fontId="7" fillId="0" borderId="0" xfId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/>
    </xf>
    <xf numFmtId="0" fontId="11" fillId="0" borderId="0" xfId="0" applyFont="1" applyAlignment="1">
      <alignment horizontal="left"/>
    </xf>
    <xf numFmtId="166" fontId="9" fillId="0" borderId="1" xfId="5" applyNumberFormat="1" applyFont="1" applyFill="1" applyBorder="1" applyAlignment="1">
      <alignment horizontal="center"/>
    </xf>
    <xf numFmtId="166" fontId="9" fillId="0" borderId="1" xfId="5" applyNumberFormat="1" applyFont="1" applyFill="1" applyBorder="1"/>
    <xf numFmtId="0" fontId="4" fillId="0" borderId="2" xfId="0" applyFont="1" applyBorder="1" applyAlignment="1">
      <alignment horizontal="center" vertical="center"/>
    </xf>
    <xf numFmtId="0" fontId="0" fillId="0" borderId="1" xfId="0" applyBorder="1"/>
    <xf numFmtId="0" fontId="13" fillId="0" borderId="1" xfId="0" applyFont="1" applyBorder="1" applyAlignment="1">
      <alignment horizontal="center"/>
    </xf>
    <xf numFmtId="41" fontId="0" fillId="0" borderId="1" xfId="0" applyNumberFormat="1" applyBorder="1"/>
    <xf numFmtId="3" fontId="13" fillId="0" borderId="1" xfId="0" applyNumberFormat="1" applyFont="1" applyBorder="1"/>
    <xf numFmtId="0" fontId="13" fillId="0" borderId="0" xfId="0" applyFont="1"/>
    <xf numFmtId="0" fontId="7" fillId="2" borderId="0" xfId="1" applyFont="1" applyFill="1"/>
    <xf numFmtId="3" fontId="9" fillId="2" borderId="1" xfId="1" applyNumberFormat="1" applyFont="1" applyFill="1" applyBorder="1" applyAlignment="1">
      <alignment horizontal="center"/>
    </xf>
    <xf numFmtId="38" fontId="7" fillId="2" borderId="1" xfId="1" applyNumberFormat="1" applyFont="1" applyFill="1" applyBorder="1"/>
    <xf numFmtId="3" fontId="9" fillId="2" borderId="1" xfId="1" applyNumberFormat="1" applyFont="1" applyFill="1" applyBorder="1"/>
    <xf numFmtId="0" fontId="7" fillId="2" borderId="0" xfId="0" applyFont="1" applyFill="1"/>
    <xf numFmtId="0" fontId="7" fillId="2" borderId="1" xfId="1" applyFont="1" applyFill="1" applyBorder="1" applyAlignment="1">
      <alignment horizontal="center"/>
    </xf>
    <xf numFmtId="165" fontId="7" fillId="2" borderId="1" xfId="1" applyNumberFormat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3" fontId="7" fillId="2" borderId="1" xfId="1" applyNumberFormat="1" applyFont="1" applyFill="1" applyBorder="1"/>
    <xf numFmtId="0" fontId="8" fillId="2" borderId="0" xfId="0" applyFont="1" applyFill="1"/>
    <xf numFmtId="0" fontId="7" fillId="2" borderId="1" xfId="1" applyFont="1" applyFill="1" applyBorder="1"/>
    <xf numFmtId="165" fontId="9" fillId="2" borderId="1" xfId="1" applyNumberFormat="1" applyFont="1" applyFill="1" applyBorder="1" applyAlignment="1">
      <alignment horizontal="center"/>
    </xf>
    <xf numFmtId="165" fontId="7" fillId="2" borderId="1" xfId="1" applyNumberFormat="1" applyFont="1" applyFill="1" applyBorder="1" applyAlignment="1">
      <alignment horizontal="center"/>
    </xf>
    <xf numFmtId="0" fontId="9" fillId="2" borderId="0" xfId="1" applyFont="1" applyFill="1"/>
    <xf numFmtId="0" fontId="11" fillId="2" borderId="0" xfId="0" applyFont="1" applyFill="1"/>
    <xf numFmtId="3" fontId="8" fillId="2" borderId="0" xfId="0" applyNumberFormat="1" applyFont="1" applyFill="1"/>
    <xf numFmtId="41" fontId="7" fillId="2" borderId="1" xfId="4" applyFont="1" applyFill="1" applyBorder="1"/>
    <xf numFmtId="3" fontId="7" fillId="2" borderId="1" xfId="1" applyNumberFormat="1" applyFont="1" applyFill="1" applyBorder="1" applyAlignment="1">
      <alignment horizontal="center"/>
    </xf>
    <xf numFmtId="165" fontId="7" fillId="2" borderId="1" xfId="1" applyNumberFormat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0" fontId="9" fillId="2" borderId="1" xfId="1" applyFont="1" applyFill="1" applyBorder="1" applyAlignment="1">
      <alignment horizontal="left"/>
    </xf>
    <xf numFmtId="0" fontId="9" fillId="2" borderId="1" xfId="1" applyFont="1" applyFill="1" applyBorder="1"/>
    <xf numFmtId="166" fontId="8" fillId="2" borderId="0" xfId="5" applyNumberFormat="1" applyFont="1" applyFill="1"/>
    <xf numFmtId="166" fontId="7" fillId="0" borderId="1" xfId="5" applyNumberFormat="1" applyFont="1" applyFill="1" applyBorder="1" applyAlignment="1">
      <alignment horizontal="left"/>
    </xf>
    <xf numFmtId="166" fontId="7" fillId="2" borderId="0" xfId="5" applyNumberFormat="1" applyFont="1" applyFill="1"/>
    <xf numFmtId="166" fontId="9" fillId="2" borderId="1" xfId="5" applyNumberFormat="1" applyFont="1" applyFill="1" applyBorder="1" applyAlignment="1">
      <alignment horizontal="center"/>
    </xf>
    <xf numFmtId="166" fontId="7" fillId="2" borderId="1" xfId="5" applyNumberFormat="1" applyFont="1" applyFill="1" applyBorder="1"/>
    <xf numFmtId="166" fontId="7" fillId="2" borderId="3" xfId="5" applyNumberFormat="1" applyFont="1" applyFill="1" applyBorder="1"/>
    <xf numFmtId="166" fontId="9" fillId="2" borderId="1" xfId="5" applyNumberFormat="1" applyFont="1" applyFill="1" applyBorder="1"/>
    <xf numFmtId="166" fontId="7" fillId="2" borderId="1" xfId="5" applyNumberFormat="1" applyFont="1" applyFill="1" applyBorder="1" applyAlignment="1">
      <alignment horizontal="left"/>
    </xf>
    <xf numFmtId="3" fontId="11" fillId="0" borderId="2" xfId="0" applyNumberFormat="1" applyFont="1" applyBorder="1"/>
    <xf numFmtId="41" fontId="11" fillId="0" borderId="1" xfId="4" applyFont="1" applyBorder="1"/>
    <xf numFmtId="41" fontId="8" fillId="0" borderId="0" xfId="4" applyFont="1"/>
    <xf numFmtId="3" fontId="14" fillId="0" borderId="0" xfId="0" applyNumberFormat="1" applyFont="1"/>
    <xf numFmtId="0" fontId="11" fillId="0" borderId="6" xfId="0" applyFont="1" applyBorder="1"/>
    <xf numFmtId="0" fontId="11" fillId="0" borderId="1" xfId="0" applyFont="1" applyBorder="1"/>
    <xf numFmtId="41" fontId="11" fillId="0" borderId="1" xfId="4" applyFont="1" applyBorder="1" applyAlignment="1">
      <alignment horizontal="center"/>
    </xf>
    <xf numFmtId="0" fontId="8" fillId="0" borderId="1" xfId="0" applyFont="1" applyBorder="1"/>
    <xf numFmtId="41" fontId="8" fillId="0" borderId="1" xfId="4" applyFont="1" applyBorder="1"/>
    <xf numFmtId="9" fontId="8" fillId="0" borderId="1" xfId="6" applyFont="1" applyBorder="1"/>
    <xf numFmtId="0" fontId="8" fillId="4" borderId="1" xfId="0" applyFont="1" applyFill="1" applyBorder="1"/>
    <xf numFmtId="9" fontId="11" fillId="0" borderId="1" xfId="4" applyNumberFormat="1" applyFont="1" applyBorder="1"/>
    <xf numFmtId="41" fontId="8" fillId="4" borderId="1" xfId="4" applyFont="1" applyFill="1" applyBorder="1"/>
    <xf numFmtId="9" fontId="8" fillId="4" borderId="1" xfId="6" applyFont="1" applyFill="1" applyBorder="1"/>
    <xf numFmtId="0" fontId="7" fillId="3" borderId="1" xfId="1" applyFont="1" applyFill="1" applyBorder="1" applyAlignment="1">
      <alignment horizontal="left"/>
    </xf>
    <xf numFmtId="3" fontId="7" fillId="2" borderId="0" xfId="0" applyNumberFormat="1" applyFont="1" applyFill="1"/>
    <xf numFmtId="38" fontId="7" fillId="2" borderId="0" xfId="0" applyNumberFormat="1" applyFont="1" applyFill="1"/>
    <xf numFmtId="3" fontId="7" fillId="2" borderId="1" xfId="1" applyNumberFormat="1" applyFont="1" applyFill="1" applyBorder="1" applyAlignment="1">
      <alignment horizontal="left"/>
    </xf>
    <xf numFmtId="16" fontId="7" fillId="2" borderId="1" xfId="1" applyNumberFormat="1" applyFont="1" applyFill="1" applyBorder="1" applyAlignment="1">
      <alignment horizontal="left"/>
    </xf>
    <xf numFmtId="166" fontId="7" fillId="2" borderId="1" xfId="5" applyNumberFormat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/>
    </xf>
    <xf numFmtId="14" fontId="7" fillId="2" borderId="1" xfId="1" applyNumberFormat="1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0" xfId="0" applyFont="1" applyFill="1"/>
    <xf numFmtId="3" fontId="7" fillId="2" borderId="1" xfId="1" applyNumberFormat="1" applyFont="1" applyFill="1" applyBorder="1" applyAlignment="1">
      <alignment horizontal="right"/>
    </xf>
    <xf numFmtId="165" fontId="7" fillId="2" borderId="3" xfId="1" applyNumberFormat="1" applyFont="1" applyFill="1" applyBorder="1" applyAlignment="1">
      <alignment horizontal="left"/>
    </xf>
    <xf numFmtId="0" fontId="7" fillId="2" borderId="3" xfId="1" applyFont="1" applyFill="1" applyBorder="1" applyAlignment="1">
      <alignment horizontal="left"/>
    </xf>
    <xf numFmtId="165" fontId="9" fillId="2" borderId="1" xfId="1" applyNumberFormat="1" applyFont="1" applyFill="1" applyBorder="1" applyAlignment="1">
      <alignment horizontal="left"/>
    </xf>
    <xf numFmtId="165" fontId="9" fillId="2" borderId="2" xfId="1" applyNumberFormat="1" applyFont="1" applyFill="1" applyBorder="1"/>
    <xf numFmtId="165" fontId="9" fillId="2" borderId="5" xfId="1" applyNumberFormat="1" applyFont="1" applyFill="1" applyBorder="1"/>
    <xf numFmtId="165" fontId="9" fillId="2" borderId="4" xfId="1" applyNumberFormat="1" applyFont="1" applyFill="1" applyBorder="1"/>
    <xf numFmtId="0" fontId="9" fillId="2" borderId="1" xfId="1" applyFont="1" applyFill="1" applyBorder="1" applyAlignment="1">
      <alignment horizontal="center"/>
    </xf>
    <xf numFmtId="165" fontId="9" fillId="2" borderId="2" xfId="1" applyNumberFormat="1" applyFont="1" applyFill="1" applyBorder="1" applyAlignment="1">
      <alignment horizontal="left"/>
    </xf>
    <xf numFmtId="165" fontId="9" fillId="2" borderId="5" xfId="1" applyNumberFormat="1" applyFont="1" applyFill="1" applyBorder="1" applyAlignment="1">
      <alignment horizontal="left"/>
    </xf>
    <xf numFmtId="165" fontId="9" fillId="2" borderId="4" xfId="1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41" fontId="8" fillId="2" borderId="0" xfId="4" applyFont="1" applyFill="1"/>
    <xf numFmtId="38" fontId="7" fillId="2" borderId="3" xfId="1" applyNumberFormat="1" applyFont="1" applyFill="1" applyBorder="1"/>
    <xf numFmtId="38" fontId="8" fillId="2" borderId="0" xfId="0" applyNumberFormat="1" applyFont="1" applyFill="1"/>
    <xf numFmtId="0" fontId="7" fillId="2" borderId="0" xfId="1" applyFont="1" applyFill="1" applyAlignment="1">
      <alignment horizontal="center"/>
    </xf>
    <xf numFmtId="0" fontId="12" fillId="2" borderId="1" xfId="1" applyFont="1" applyFill="1" applyBorder="1" applyAlignment="1">
      <alignment horizontal="center"/>
    </xf>
    <xf numFmtId="38" fontId="12" fillId="2" borderId="1" xfId="1" applyNumberFormat="1" applyFont="1" applyFill="1" applyBorder="1"/>
    <xf numFmtId="0" fontId="8" fillId="2" borderId="0" xfId="0" applyFont="1" applyFill="1" applyAlignment="1">
      <alignment horizontal="center"/>
    </xf>
    <xf numFmtId="14" fontId="7" fillId="2" borderId="1" xfId="1" applyNumberFormat="1" applyFont="1" applyFill="1" applyBorder="1" applyAlignment="1">
      <alignment horizontal="center"/>
    </xf>
    <xf numFmtId="166" fontId="7" fillId="2" borderId="1" xfId="5" applyNumberFormat="1" applyFont="1" applyFill="1" applyBorder="1" applyAlignment="1">
      <alignment horizontal="center"/>
    </xf>
    <xf numFmtId="41" fontId="8" fillId="2" borderId="1" xfId="4" applyFont="1" applyFill="1" applyBorder="1"/>
    <xf numFmtId="41" fontId="7" fillId="2" borderId="1" xfId="4" applyFont="1" applyFill="1" applyBorder="1" applyAlignment="1">
      <alignment horizontal="center"/>
    </xf>
    <xf numFmtId="38" fontId="10" fillId="2" borderId="1" xfId="1" applyNumberFormat="1" applyFont="1" applyFill="1" applyBorder="1"/>
    <xf numFmtId="165" fontId="9" fillId="2" borderId="1" xfId="1" applyNumberFormat="1" applyFont="1" applyFill="1" applyBorder="1"/>
    <xf numFmtId="38" fontId="8" fillId="2" borderId="1" xfId="0" applyNumberFormat="1" applyFont="1" applyFill="1" applyBorder="1"/>
    <xf numFmtId="41" fontId="7" fillId="2" borderId="1" xfId="4" applyFont="1" applyFill="1" applyBorder="1" applyAlignment="1">
      <alignment horizontal="left"/>
    </xf>
    <xf numFmtId="0" fontId="9" fillId="2" borderId="0" xfId="1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166" fontId="7" fillId="2" borderId="4" xfId="5" applyNumberFormat="1" applyFont="1" applyFill="1" applyBorder="1" applyAlignment="1">
      <alignment horizontal="center"/>
    </xf>
    <xf numFmtId="3" fontId="9" fillId="2" borderId="1" xfId="1" applyNumberFormat="1" applyFont="1" applyFill="1" applyBorder="1" applyAlignment="1">
      <alignment horizontal="left"/>
    </xf>
    <xf numFmtId="166" fontId="9" fillId="2" borderId="1" xfId="5" applyNumberFormat="1" applyFont="1" applyFill="1" applyBorder="1" applyAlignment="1">
      <alignment horizontal="left"/>
    </xf>
    <xf numFmtId="38" fontId="7" fillId="2" borderId="1" xfId="1" applyNumberFormat="1" applyFont="1" applyFill="1" applyBorder="1" applyAlignment="1">
      <alignment horizontal="left"/>
    </xf>
    <xf numFmtId="41" fontId="9" fillId="2" borderId="1" xfId="4" applyFont="1" applyFill="1" applyBorder="1" applyAlignment="1">
      <alignment horizontal="center"/>
    </xf>
    <xf numFmtId="0" fontId="8" fillId="2" borderId="1" xfId="0" applyFont="1" applyFill="1" applyBorder="1"/>
    <xf numFmtId="41" fontId="8" fillId="0" borderId="0" xfId="0" applyNumberFormat="1" applyFont="1"/>
    <xf numFmtId="0" fontId="13" fillId="0" borderId="1" xfId="0" applyFont="1" applyBorder="1"/>
    <xf numFmtId="0" fontId="4" fillId="0" borderId="1" xfId="0" applyFont="1" applyBorder="1" applyAlignment="1">
      <alignment horizontal="center" vertical="center"/>
    </xf>
    <xf numFmtId="166" fontId="0" fillId="0" borderId="1" xfId="5" applyNumberFormat="1" applyFont="1" applyBorder="1"/>
    <xf numFmtId="0" fontId="13" fillId="0" borderId="3" xfId="0" applyFont="1" applyBorder="1" applyAlignment="1">
      <alignment horizontal="center"/>
    </xf>
    <xf numFmtId="166" fontId="0" fillId="0" borderId="1" xfId="0" applyNumberFormat="1" applyBorder="1"/>
    <xf numFmtId="0" fontId="3" fillId="0" borderId="1" xfId="0" applyFont="1" applyBorder="1" applyAlignment="1">
      <alignment vertical="center"/>
    </xf>
    <xf numFmtId="166" fontId="13" fillId="0" borderId="1" xfId="0" applyNumberFormat="1" applyFont="1" applyBorder="1"/>
    <xf numFmtId="166" fontId="13" fillId="0" borderId="1" xfId="5" applyNumberFormat="1" applyFont="1" applyBorder="1"/>
    <xf numFmtId="0" fontId="13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3" fontId="0" fillId="0" borderId="0" xfId="0" applyNumberFormat="1"/>
    <xf numFmtId="3" fontId="13" fillId="0" borderId="0" xfId="0" applyNumberFormat="1" applyFont="1"/>
    <xf numFmtId="166" fontId="15" fillId="0" borderId="1" xfId="5" applyNumberFormat="1" applyFont="1" applyBorder="1"/>
    <xf numFmtId="166" fontId="0" fillId="0" borderId="0" xfId="5" applyNumberFormat="1" applyFont="1"/>
    <xf numFmtId="1" fontId="7" fillId="2" borderId="1" xfId="1" applyNumberFormat="1" applyFont="1" applyFill="1" applyBorder="1"/>
    <xf numFmtId="166" fontId="8" fillId="2" borderId="1" xfId="0" applyNumberFormat="1" applyFont="1" applyFill="1" applyBorder="1"/>
    <xf numFmtId="166" fontId="11" fillId="0" borderId="0" xfId="0" applyNumberFormat="1" applyFont="1"/>
    <xf numFmtId="166" fontId="8" fillId="0" borderId="1" xfId="0" applyNumberFormat="1" applyFont="1" applyBorder="1"/>
    <xf numFmtId="38" fontId="0" fillId="0" borderId="0" xfId="0" applyNumberFormat="1"/>
    <xf numFmtId="38" fontId="7" fillId="2" borderId="1" xfId="1" applyNumberFormat="1" applyFont="1" applyFill="1" applyBorder="1" applyAlignment="1">
      <alignment horizontal="center"/>
    </xf>
    <xf numFmtId="166" fontId="7" fillId="2" borderId="1" xfId="1" applyNumberFormat="1" applyFont="1" applyFill="1" applyBorder="1" applyAlignment="1">
      <alignment horizontal="center"/>
    </xf>
    <xf numFmtId="41" fontId="7" fillId="0" borderId="1" xfId="4" applyFont="1" applyFill="1" applyBorder="1"/>
    <xf numFmtId="0" fontId="10" fillId="2" borderId="1" xfId="1" applyFont="1" applyFill="1" applyBorder="1" applyAlignment="1">
      <alignment horizontal="left"/>
    </xf>
    <xf numFmtId="1" fontId="9" fillId="2" borderId="1" xfId="1" applyNumberFormat="1" applyFont="1" applyFill="1" applyBorder="1" applyAlignment="1">
      <alignment horizontal="center"/>
    </xf>
    <xf numFmtId="41" fontId="9" fillId="2" borderId="1" xfId="4" applyFont="1" applyFill="1" applyBorder="1"/>
    <xf numFmtId="41" fontId="11" fillId="2" borderId="0" xfId="0" applyNumberFormat="1" applyFont="1" applyFill="1"/>
    <xf numFmtId="38" fontId="7" fillId="2" borderId="0" xfId="1" applyNumberFormat="1" applyFont="1" applyFill="1"/>
    <xf numFmtId="41" fontId="7" fillId="2" borderId="0" xfId="4" applyFont="1" applyFill="1" applyBorder="1"/>
    <xf numFmtId="41" fontId="9" fillId="2" borderId="0" xfId="4" applyFont="1" applyFill="1" applyBorder="1"/>
    <xf numFmtId="0" fontId="9" fillId="2" borderId="5" xfId="1" applyFont="1" applyFill="1" applyBorder="1"/>
    <xf numFmtId="0" fontId="9" fillId="2" borderId="4" xfId="1" applyFont="1" applyFill="1" applyBorder="1"/>
    <xf numFmtId="0" fontId="8" fillId="2" borderId="0" xfId="0" applyFont="1" applyFill="1" applyAlignment="1">
      <alignment vertical="center" wrapText="1"/>
    </xf>
    <xf numFmtId="41" fontId="7" fillId="2" borderId="1" xfId="4" applyFont="1" applyFill="1" applyBorder="1" applyAlignment="1">
      <alignment horizontal="right"/>
    </xf>
    <xf numFmtId="167" fontId="7" fillId="2" borderId="1" xfId="1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7" fillId="2" borderId="1" xfId="1" applyFont="1" applyFill="1" applyBorder="1" applyAlignment="1">
      <alignment horizontal="center" wrapText="1"/>
    </xf>
    <xf numFmtId="167" fontId="7" fillId="2" borderId="1" xfId="1" applyNumberFormat="1" applyFont="1" applyFill="1" applyBorder="1" applyAlignment="1">
      <alignment horizontal="left"/>
    </xf>
    <xf numFmtId="165" fontId="9" fillId="2" borderId="5" xfId="1" applyNumberFormat="1" applyFont="1" applyFill="1" applyBorder="1" applyAlignment="1">
      <alignment horizontal="center"/>
    </xf>
    <xf numFmtId="165" fontId="9" fillId="2" borderId="2" xfId="1" applyNumberFormat="1" applyFont="1" applyFill="1" applyBorder="1" applyAlignment="1">
      <alignment horizontal="center"/>
    </xf>
    <xf numFmtId="165" fontId="9" fillId="2" borderId="4" xfId="1" applyNumberFormat="1" applyFont="1" applyFill="1" applyBorder="1" applyAlignment="1">
      <alignment horizontal="center"/>
    </xf>
    <xf numFmtId="41" fontId="0" fillId="0" borderId="0" xfId="4" applyFont="1"/>
    <xf numFmtId="165" fontId="7" fillId="2" borderId="2" xfId="1" applyNumberFormat="1" applyFont="1" applyFill="1" applyBorder="1" applyAlignment="1">
      <alignment horizontal="left"/>
    </xf>
    <xf numFmtId="0" fontId="7" fillId="2" borderId="5" xfId="1" applyFont="1" applyFill="1" applyBorder="1" applyAlignment="1">
      <alignment horizontal="left"/>
    </xf>
    <xf numFmtId="38" fontId="7" fillId="2" borderId="5" xfId="1" applyNumberFormat="1" applyFont="1" applyFill="1" applyBorder="1"/>
    <xf numFmtId="3" fontId="7" fillId="2" borderId="4" xfId="1" applyNumberFormat="1" applyFont="1" applyFill="1" applyBorder="1"/>
    <xf numFmtId="167" fontId="7" fillId="2" borderId="2" xfId="1" applyNumberFormat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166" fontId="7" fillId="2" borderId="5" xfId="5" applyNumberFormat="1" applyFont="1" applyFill="1" applyBorder="1" applyAlignment="1">
      <alignment horizontal="left"/>
    </xf>
    <xf numFmtId="1" fontId="7" fillId="2" borderId="1" xfId="1" applyNumberFormat="1" applyFont="1" applyFill="1" applyBorder="1" applyAlignment="1">
      <alignment horizontal="right"/>
    </xf>
    <xf numFmtId="0" fontId="10" fillId="2" borderId="1" xfId="1" applyFont="1" applyFill="1" applyBorder="1" applyAlignment="1">
      <alignment horizontal="center"/>
    </xf>
    <xf numFmtId="0" fontId="10" fillId="2" borderId="1" xfId="1" applyFont="1" applyFill="1" applyBorder="1"/>
    <xf numFmtId="166" fontId="8" fillId="2" borderId="0" xfId="0" applyNumberFormat="1" applyFont="1" applyFill="1"/>
    <xf numFmtId="41" fontId="8" fillId="2" borderId="0" xfId="0" applyNumberFormat="1" applyFont="1" applyFill="1"/>
    <xf numFmtId="38" fontId="11" fillId="2" borderId="0" xfId="0" applyNumberFormat="1" applyFont="1" applyFill="1"/>
    <xf numFmtId="1" fontId="7" fillId="2" borderId="1" xfId="1" applyNumberFormat="1" applyFont="1" applyFill="1" applyBorder="1" applyAlignment="1">
      <alignment horizontal="left"/>
    </xf>
    <xf numFmtId="166" fontId="7" fillId="2" borderId="0" xfId="1" applyNumberFormat="1" applyFont="1" applyFill="1"/>
    <xf numFmtId="166" fontId="9" fillId="2" borderId="0" xfId="1" applyNumberFormat="1" applyFont="1" applyFill="1"/>
    <xf numFmtId="0" fontId="9" fillId="2" borderId="0" xfId="1" applyFont="1" applyFill="1" applyAlignment="1">
      <alignment horizontal="center"/>
    </xf>
    <xf numFmtId="41" fontId="31" fillId="2" borderId="1" xfId="4" applyFont="1" applyFill="1" applyBorder="1"/>
    <xf numFmtId="0" fontId="7" fillId="2" borderId="5" xfId="1" applyFont="1" applyFill="1" applyBorder="1"/>
    <xf numFmtId="38" fontId="8" fillId="2" borderId="1" xfId="1" applyNumberFormat="1" applyFont="1" applyFill="1" applyBorder="1"/>
    <xf numFmtId="3" fontId="11" fillId="2" borderId="0" xfId="0" applyNumberFormat="1" applyFont="1" applyFill="1"/>
    <xf numFmtId="3" fontId="7" fillId="2" borderId="1" xfId="4" applyNumberFormat="1" applyFont="1" applyFill="1" applyBorder="1"/>
    <xf numFmtId="3" fontId="10" fillId="2" borderId="0" xfId="0" applyNumberFormat="1" applyFont="1" applyFill="1"/>
    <xf numFmtId="41" fontId="8" fillId="2" borderId="1" xfId="0" applyNumberFormat="1" applyFont="1" applyFill="1" applyBorder="1"/>
    <xf numFmtId="41" fontId="7" fillId="2" borderId="0" xfId="1" applyNumberFormat="1" applyFont="1" applyFill="1"/>
    <xf numFmtId="41" fontId="7" fillId="2" borderId="0" xfId="1" applyNumberFormat="1" applyFont="1" applyFill="1" applyAlignment="1">
      <alignment horizontal="left"/>
    </xf>
    <xf numFmtId="41" fontId="9" fillId="2" borderId="1" xfId="1" applyNumberFormat="1" applyFont="1" applyFill="1" applyBorder="1" applyAlignment="1">
      <alignment horizontal="center"/>
    </xf>
    <xf numFmtId="41" fontId="9" fillId="2" borderId="0" xfId="1" applyNumberFormat="1" applyFont="1" applyFill="1"/>
    <xf numFmtId="165" fontId="8" fillId="2" borderId="1" xfId="1" applyNumberFormat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center"/>
    </xf>
    <xf numFmtId="0" fontId="8" fillId="2" borderId="1" xfId="1" applyFont="1" applyFill="1" applyBorder="1"/>
    <xf numFmtId="0" fontId="7" fillId="2" borderId="1" xfId="0" applyFont="1" applyFill="1" applyBorder="1" applyAlignment="1">
      <alignment horizontal="left"/>
    </xf>
    <xf numFmtId="165" fontId="7" fillId="2" borderId="1" xfId="0" applyNumberFormat="1" applyFont="1" applyFill="1" applyBorder="1" applyAlignment="1">
      <alignment horizontal="left"/>
    </xf>
    <xf numFmtId="41" fontId="7" fillId="2" borderId="1" xfId="1" applyNumberFormat="1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1" applyNumberFormat="1" applyFont="1" applyBorder="1" applyAlignment="1">
      <alignment horizontal="left"/>
    </xf>
    <xf numFmtId="0" fontId="10" fillId="0" borderId="1" xfId="1" applyFont="1" applyBorder="1" applyAlignment="1">
      <alignment horizontal="center"/>
    </xf>
    <xf numFmtId="0" fontId="10" fillId="0" borderId="1" xfId="1" applyFont="1" applyBorder="1" applyAlignment="1">
      <alignment horizontal="left"/>
    </xf>
    <xf numFmtId="38" fontId="10" fillId="0" borderId="1" xfId="1" applyNumberFormat="1" applyFont="1" applyBorder="1"/>
    <xf numFmtId="165" fontId="10" fillId="2" borderId="1" xfId="1" applyNumberFormat="1" applyFont="1" applyFill="1" applyBorder="1" applyAlignment="1">
      <alignment horizontal="left"/>
    </xf>
    <xf numFmtId="0" fontId="13" fillId="0" borderId="4" xfId="0" applyFont="1" applyBorder="1"/>
    <xf numFmtId="38" fontId="7" fillId="2" borderId="1" xfId="1" applyNumberFormat="1" applyFont="1" applyFill="1" applyBorder="1" applyAlignment="1">
      <alignment horizontal="right"/>
    </xf>
    <xf numFmtId="166" fontId="10" fillId="2" borderId="1" xfId="5" applyNumberFormat="1" applyFont="1" applyFill="1" applyBorder="1"/>
    <xf numFmtId="41" fontId="10" fillId="2" borderId="1" xfId="4" applyFont="1" applyFill="1" applyBorder="1"/>
    <xf numFmtId="14" fontId="7" fillId="2" borderId="1" xfId="0" applyNumberFormat="1" applyFont="1" applyFill="1" applyBorder="1"/>
    <xf numFmtId="41" fontId="7" fillId="2" borderId="1" xfId="1" applyNumberFormat="1" applyFont="1" applyFill="1" applyBorder="1"/>
    <xf numFmtId="41" fontId="7" fillId="2" borderId="1" xfId="0" applyNumberFormat="1" applyFont="1" applyFill="1" applyBorder="1"/>
    <xf numFmtId="38" fontId="7" fillId="3" borderId="1" xfId="1" applyNumberFormat="1" applyFont="1" applyFill="1" applyBorder="1"/>
    <xf numFmtId="165" fontId="7" fillId="2" borderId="2" xfId="1" applyNumberFormat="1" applyFont="1" applyFill="1" applyBorder="1" applyAlignment="1">
      <alignment horizontal="center"/>
    </xf>
    <xf numFmtId="41" fontId="0" fillId="2" borderId="1" xfId="4" applyFont="1" applyFill="1" applyBorder="1"/>
    <xf numFmtId="41" fontId="0" fillId="0" borderId="1" xfId="4" applyFont="1" applyBorder="1"/>
    <xf numFmtId="41" fontId="13" fillId="0" borderId="1" xfId="0" applyNumberFormat="1" applyFont="1" applyBorder="1"/>
    <xf numFmtId="41" fontId="13" fillId="0" borderId="1" xfId="4" applyFont="1" applyBorder="1"/>
    <xf numFmtId="0" fontId="8" fillId="2" borderId="1" xfId="0" applyFont="1" applyFill="1" applyBorder="1" applyAlignment="1">
      <alignment horizontal="center"/>
    </xf>
    <xf numFmtId="166" fontId="8" fillId="2" borderId="1" xfId="5" applyNumberFormat="1" applyFont="1" applyFill="1" applyBorder="1"/>
    <xf numFmtId="38" fontId="9" fillId="2" borderId="1" xfId="1" applyNumberFormat="1" applyFont="1" applyFill="1" applyBorder="1"/>
    <xf numFmtId="38" fontId="9" fillId="0" borderId="1" xfId="1" applyNumberFormat="1" applyFont="1" applyBorder="1"/>
    <xf numFmtId="0" fontId="9" fillId="0" borderId="1" xfId="1" applyFont="1" applyBorder="1"/>
    <xf numFmtId="3" fontId="10" fillId="2" borderId="1" xfId="1" applyNumberFormat="1" applyFont="1" applyFill="1" applyBorder="1"/>
    <xf numFmtId="14" fontId="8" fillId="2" borderId="1" xfId="0" applyNumberFormat="1" applyFont="1" applyFill="1" applyBorder="1"/>
    <xf numFmtId="38" fontId="9" fillId="2" borderId="1" xfId="1" applyNumberFormat="1" applyFont="1" applyFill="1" applyBorder="1" applyAlignment="1">
      <alignment horizontal="center"/>
    </xf>
    <xf numFmtId="3" fontId="9" fillId="2" borderId="0" xfId="1" applyNumberFormat="1" applyFont="1" applyFill="1" applyAlignment="1">
      <alignment horizontal="center"/>
    </xf>
    <xf numFmtId="41" fontId="0" fillId="0" borderId="0" xfId="0" applyNumberFormat="1"/>
    <xf numFmtId="165" fontId="8" fillId="2" borderId="1" xfId="0" applyNumberFormat="1" applyFont="1" applyFill="1" applyBorder="1"/>
    <xf numFmtId="3" fontId="31" fillId="2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165" fontId="33" fillId="2" borderId="1" xfId="1" applyNumberFormat="1" applyFont="1" applyFill="1" applyBorder="1" applyAlignment="1">
      <alignment horizontal="center"/>
    </xf>
    <xf numFmtId="0" fontId="33" fillId="2" borderId="1" xfId="1" applyFont="1" applyFill="1" applyBorder="1" applyAlignment="1">
      <alignment horizontal="center"/>
    </xf>
    <xf numFmtId="3" fontId="33" fillId="2" borderId="1" xfId="1" applyNumberFormat="1" applyFont="1" applyFill="1" applyBorder="1" applyAlignment="1">
      <alignment horizontal="center"/>
    </xf>
    <xf numFmtId="166" fontId="33" fillId="2" borderId="1" xfId="5" applyNumberFormat="1" applyFont="1" applyFill="1" applyBorder="1" applyAlignment="1">
      <alignment horizontal="center"/>
    </xf>
    <xf numFmtId="0" fontId="34" fillId="2" borderId="1" xfId="1" applyFont="1" applyFill="1" applyBorder="1" applyAlignment="1">
      <alignment horizontal="left"/>
    </xf>
    <xf numFmtId="3" fontId="34" fillId="2" borderId="1" xfId="1" applyNumberFormat="1" applyFont="1" applyFill="1" applyBorder="1" applyAlignment="1">
      <alignment horizontal="center"/>
    </xf>
    <xf numFmtId="166" fontId="34" fillId="2" borderId="1" xfId="5" applyNumberFormat="1" applyFont="1" applyFill="1" applyBorder="1" applyAlignment="1">
      <alignment horizontal="center"/>
    </xf>
    <xf numFmtId="165" fontId="34" fillId="2" borderId="1" xfId="1" applyNumberFormat="1" applyFont="1" applyFill="1" applyBorder="1" applyAlignment="1">
      <alignment horizontal="left"/>
    </xf>
    <xf numFmtId="38" fontId="34" fillId="2" borderId="1" xfId="1" applyNumberFormat="1" applyFont="1" applyFill="1" applyBorder="1"/>
    <xf numFmtId="166" fontId="34" fillId="2" borderId="1" xfId="5" applyNumberFormat="1" applyFont="1" applyFill="1" applyBorder="1"/>
    <xf numFmtId="0" fontId="34" fillId="2" borderId="1" xfId="1" applyFont="1" applyFill="1" applyBorder="1"/>
    <xf numFmtId="38" fontId="34" fillId="0" borderId="1" xfId="1" applyNumberFormat="1" applyFont="1" applyBorder="1"/>
    <xf numFmtId="165" fontId="34" fillId="0" borderId="1" xfId="1" applyNumberFormat="1" applyFont="1" applyBorder="1" applyAlignment="1">
      <alignment horizontal="left"/>
    </xf>
    <xf numFmtId="0" fontId="34" fillId="0" borderId="1" xfId="1" applyFont="1" applyBorder="1" applyAlignment="1">
      <alignment horizontal="left"/>
    </xf>
    <xf numFmtId="0" fontId="34" fillId="0" borderId="1" xfId="1" applyFont="1" applyBorder="1"/>
    <xf numFmtId="38" fontId="35" fillId="2" borderId="1" xfId="1" applyNumberFormat="1" applyFont="1" applyFill="1" applyBorder="1"/>
    <xf numFmtId="3" fontId="34" fillId="2" borderId="1" xfId="1" applyNumberFormat="1" applyFont="1" applyFill="1" applyBorder="1"/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/>
    <xf numFmtId="165" fontId="34" fillId="0" borderId="2" xfId="1" applyNumberFormat="1" applyFont="1" applyBorder="1" applyAlignment="1">
      <alignment horizontal="left"/>
    </xf>
    <xf numFmtId="0" fontId="34" fillId="0" borderId="1" xfId="1" applyFont="1" applyBorder="1" applyAlignment="1">
      <alignment horizontal="center"/>
    </xf>
    <xf numFmtId="3" fontId="33" fillId="2" borderId="1" xfId="1" applyNumberFormat="1" applyFont="1" applyFill="1" applyBorder="1"/>
    <xf numFmtId="166" fontId="33" fillId="2" borderId="1" xfId="5" applyNumberFormat="1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66" fontId="11" fillId="2" borderId="0" xfId="0" applyNumberFormat="1" applyFont="1" applyFill="1"/>
    <xf numFmtId="0" fontId="36" fillId="2" borderId="1" xfId="1" applyFont="1" applyFill="1" applyBorder="1" applyAlignment="1">
      <alignment horizontal="left"/>
    </xf>
    <xf numFmtId="38" fontId="36" fillId="2" borderId="1" xfId="1" applyNumberFormat="1" applyFont="1" applyFill="1" applyBorder="1"/>
    <xf numFmtId="41" fontId="7" fillId="2" borderId="0" xfId="0" applyNumberFormat="1" applyFont="1" applyFill="1"/>
    <xf numFmtId="38" fontId="12" fillId="0" borderId="1" xfId="1" applyNumberFormat="1" applyFont="1" applyBorder="1"/>
    <xf numFmtId="165" fontId="7" fillId="2" borderId="2" xfId="1" applyNumberFormat="1" applyFont="1" applyFill="1" applyBorder="1" applyAlignment="1">
      <alignment horizontal="right"/>
    </xf>
    <xf numFmtId="166" fontId="7" fillId="3" borderId="1" xfId="5" applyNumberFormat="1" applyFont="1" applyFill="1" applyBorder="1"/>
    <xf numFmtId="41" fontId="9" fillId="0" borderId="1" xfId="4" applyFont="1" applyFill="1" applyBorder="1"/>
    <xf numFmtId="3" fontId="7" fillId="2" borderId="0" xfId="1" applyNumberFormat="1" applyFont="1" applyFill="1"/>
    <xf numFmtId="41" fontId="9" fillId="2" borderId="0" xfId="1" applyNumberFormat="1" applyFont="1" applyFill="1" applyAlignment="1">
      <alignment horizontal="center"/>
    </xf>
    <xf numFmtId="41" fontId="0" fillId="0" borderId="1" xfId="4" applyFont="1" applyBorder="1" applyAlignment="1">
      <alignment horizontal="center" vertical="top" wrapText="1"/>
    </xf>
    <xf numFmtId="41" fontId="0" fillId="0" borderId="1" xfId="4" applyFont="1" applyFill="1" applyBorder="1" applyAlignment="1">
      <alignment horizontal="center" vertical="top" wrapText="1"/>
    </xf>
    <xf numFmtId="41" fontId="7" fillId="0" borderId="1" xfId="4" applyFont="1" applyFill="1" applyBorder="1" applyAlignment="1">
      <alignment horizontal="left"/>
    </xf>
    <xf numFmtId="38" fontId="7" fillId="0" borderId="0" xfId="1" applyNumberFormat="1" applyFont="1"/>
    <xf numFmtId="41" fontId="7" fillId="0" borderId="0" xfId="4" applyFont="1" applyFill="1" applyBorder="1"/>
    <xf numFmtId="41" fontId="9" fillId="0" borderId="0" xfId="4" applyFont="1" applyFill="1" applyBorder="1"/>
    <xf numFmtId="41" fontId="0" fillId="0" borderId="2" xfId="0" applyNumberFormat="1" applyBorder="1"/>
    <xf numFmtId="41" fontId="0" fillId="0" borderId="4" xfId="0" applyNumberFormat="1" applyBorder="1"/>
    <xf numFmtId="41" fontId="0" fillId="0" borderId="3" xfId="0" applyNumberFormat="1" applyBorder="1"/>
    <xf numFmtId="3" fontId="0" fillId="36" borderId="1" xfId="0" applyNumberFormat="1" applyFill="1" applyBorder="1" applyAlignment="1">
      <alignment horizontal="right" wrapText="1"/>
    </xf>
    <xf numFmtId="3" fontId="37" fillId="0" borderId="0" xfId="0" applyNumberFormat="1" applyFont="1"/>
    <xf numFmtId="3" fontId="37" fillId="0" borderId="1" xfId="0" applyNumberFormat="1" applyFont="1" applyBorder="1"/>
    <xf numFmtId="41" fontId="31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1" fontId="7" fillId="2" borderId="1" xfId="1" applyNumberFormat="1" applyFont="1" applyFill="1" applyBorder="1" applyAlignment="1">
      <alignment horizontal="center"/>
    </xf>
    <xf numFmtId="41" fontId="7" fillId="2" borderId="1" xfId="1" applyNumberFormat="1" applyFont="1" applyFill="1" applyBorder="1" applyAlignment="1">
      <alignment horizontal="left"/>
    </xf>
    <xf numFmtId="41" fontId="7" fillId="2" borderId="1" xfId="1" applyNumberFormat="1" applyFont="1" applyFill="1" applyBorder="1" applyAlignment="1">
      <alignment vertical="top"/>
    </xf>
    <xf numFmtId="41" fontId="7" fillId="2" borderId="2" xfId="1" applyNumberFormat="1" applyFont="1" applyFill="1" applyBorder="1" applyAlignment="1">
      <alignment horizontal="center"/>
    </xf>
    <xf numFmtId="41" fontId="7" fillId="2" borderId="2" xfId="1" applyNumberFormat="1" applyFont="1" applyFill="1" applyBorder="1"/>
    <xf numFmtId="165" fontId="8" fillId="2" borderId="1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41" fontId="32" fillId="2" borderId="0" xfId="4" applyFont="1" applyFill="1"/>
    <xf numFmtId="165" fontId="8" fillId="2" borderId="1" xfId="0" applyNumberFormat="1" applyFont="1" applyFill="1" applyBorder="1" applyAlignment="1">
      <alignment horizontal="left"/>
    </xf>
    <xf numFmtId="3" fontId="7" fillId="2" borderId="1" xfId="0" applyNumberFormat="1" applyFont="1" applyFill="1" applyBorder="1"/>
    <xf numFmtId="41" fontId="7" fillId="3" borderId="1" xfId="1" applyNumberFormat="1" applyFont="1" applyFill="1" applyBorder="1" applyAlignment="1">
      <alignment horizontal="center"/>
    </xf>
    <xf numFmtId="168" fontId="7" fillId="2" borderId="1" xfId="1" applyNumberFormat="1" applyFont="1" applyFill="1" applyBorder="1"/>
    <xf numFmtId="166" fontId="8" fillId="0" borderId="0" xfId="0" applyNumberFormat="1" applyFont="1" applyAlignment="1">
      <alignment horizontal="left"/>
    </xf>
    <xf numFmtId="0" fontId="8" fillId="3" borderId="0" xfId="0" applyFont="1" applyFill="1"/>
    <xf numFmtId="38" fontId="9" fillId="2" borderId="1" xfId="4" applyNumberFormat="1" applyFont="1" applyFill="1" applyBorder="1"/>
    <xf numFmtId="41" fontId="7" fillId="2" borderId="3" xfId="4" applyFont="1" applyFill="1" applyBorder="1"/>
    <xf numFmtId="38" fontId="9" fillId="2" borderId="3" xfId="4" applyNumberFormat="1" applyFont="1" applyFill="1" applyBorder="1"/>
    <xf numFmtId="0" fontId="9" fillId="2" borderId="9" xfId="1" applyFont="1" applyFill="1" applyBorder="1" applyAlignment="1">
      <alignment horizontal="center"/>
    </xf>
    <xf numFmtId="168" fontId="9" fillId="2" borderId="1" xfId="1" applyNumberFormat="1" applyFont="1" applyFill="1" applyBorder="1" applyAlignment="1">
      <alignment horizontal="center"/>
    </xf>
    <xf numFmtId="168" fontId="7" fillId="2" borderId="1" xfId="1" applyNumberFormat="1" applyFont="1" applyFill="1" applyBorder="1" applyAlignment="1">
      <alignment horizontal="center"/>
    </xf>
    <xf numFmtId="168" fontId="9" fillId="2" borderId="1" xfId="1" applyNumberFormat="1" applyFont="1" applyFill="1" applyBorder="1"/>
    <xf numFmtId="41" fontId="11" fillId="2" borderId="1" xfId="0" applyNumberFormat="1" applyFont="1" applyFill="1" applyBorder="1"/>
    <xf numFmtId="0" fontId="8" fillId="2" borderId="1" xfId="0" applyFont="1" applyFill="1" applyBorder="1" applyAlignment="1">
      <alignment horizontal="right"/>
    </xf>
    <xf numFmtId="14" fontId="8" fillId="2" borderId="1" xfId="0" applyNumberFormat="1" applyFont="1" applyFill="1" applyBorder="1" applyAlignment="1">
      <alignment horizontal="left"/>
    </xf>
    <xf numFmtId="0" fontId="9" fillId="2" borderId="3" xfId="1" applyFont="1" applyFill="1" applyBorder="1" applyAlignment="1">
      <alignment horizontal="center"/>
    </xf>
    <xf numFmtId="3" fontId="9" fillId="2" borderId="3" xfId="1" applyNumberFormat="1" applyFont="1" applyFill="1" applyBorder="1" applyAlignment="1">
      <alignment horizontal="center"/>
    </xf>
    <xf numFmtId="38" fontId="8" fillId="2" borderId="9" xfId="0" applyNumberFormat="1" applyFont="1" applyFill="1" applyBorder="1"/>
    <xf numFmtId="3" fontId="8" fillId="2" borderId="9" xfId="0" applyNumberFormat="1" applyFont="1" applyFill="1" applyBorder="1"/>
    <xf numFmtId="38" fontId="9" fillId="2" borderId="3" xfId="1" applyNumberFormat="1" applyFont="1" applyFill="1" applyBorder="1" applyAlignment="1">
      <alignment horizontal="center"/>
    </xf>
    <xf numFmtId="168" fontId="9" fillId="2" borderId="1" xfId="4" applyNumberFormat="1" applyFont="1" applyFill="1" applyBorder="1"/>
    <xf numFmtId="166" fontId="8" fillId="0" borderId="0" xfId="0" applyNumberFormat="1" applyFont="1"/>
    <xf numFmtId="165" fontId="9" fillId="2" borderId="2" xfId="1" applyNumberFormat="1" applyFont="1" applyFill="1" applyBorder="1" applyAlignment="1">
      <alignment horizontal="center"/>
    </xf>
    <xf numFmtId="165" fontId="9" fillId="2" borderId="5" xfId="1" applyNumberFormat="1" applyFont="1" applyFill="1" applyBorder="1" applyAlignment="1">
      <alignment horizontal="center"/>
    </xf>
    <xf numFmtId="165" fontId="9" fillId="2" borderId="4" xfId="1" applyNumberFormat="1" applyFont="1" applyFill="1" applyBorder="1" applyAlignment="1">
      <alignment horizontal="center"/>
    </xf>
    <xf numFmtId="41" fontId="9" fillId="2" borderId="1" xfId="4" applyFont="1" applyFill="1" applyBorder="1" applyAlignment="1">
      <alignment horizontal="center"/>
    </xf>
    <xf numFmtId="41" fontId="9" fillId="2" borderId="2" xfId="4" applyFont="1" applyFill="1" applyBorder="1" applyAlignment="1">
      <alignment horizontal="center"/>
    </xf>
    <xf numFmtId="41" fontId="9" fillId="2" borderId="5" xfId="4" applyFont="1" applyFill="1" applyBorder="1" applyAlignment="1">
      <alignment horizontal="center"/>
    </xf>
    <xf numFmtId="41" fontId="9" fillId="2" borderId="4" xfId="4" applyFont="1" applyFill="1" applyBorder="1" applyAlignment="1">
      <alignment horizontal="center"/>
    </xf>
    <xf numFmtId="165" fontId="9" fillId="2" borderId="2" xfId="1" applyNumberFormat="1" applyFont="1" applyFill="1" applyBorder="1"/>
    <xf numFmtId="165" fontId="9" fillId="2" borderId="5" xfId="1" applyNumberFormat="1" applyFont="1" applyFill="1" applyBorder="1"/>
    <xf numFmtId="165" fontId="9" fillId="2" borderId="4" xfId="1" applyNumberFormat="1" applyFont="1" applyFill="1" applyBorder="1"/>
    <xf numFmtId="0" fontId="9" fillId="2" borderId="2" xfId="1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15" fontId="9" fillId="2" borderId="1" xfId="1" applyNumberFormat="1" applyFont="1" applyFill="1" applyBorder="1"/>
    <xf numFmtId="15" fontId="9" fillId="2" borderId="1" xfId="1" applyNumberFormat="1" applyFont="1" applyFill="1" applyBorder="1" applyAlignment="1">
      <alignment horizontal="left"/>
    </xf>
    <xf numFmtId="165" fontId="9" fillId="2" borderId="2" xfId="1" applyNumberFormat="1" applyFont="1" applyFill="1" applyBorder="1" applyAlignment="1">
      <alignment horizontal="left"/>
    </xf>
    <xf numFmtId="165" fontId="9" fillId="2" borderId="5" xfId="1" applyNumberFormat="1" applyFont="1" applyFill="1" applyBorder="1" applyAlignment="1">
      <alignment horizontal="left"/>
    </xf>
    <xf numFmtId="165" fontId="9" fillId="2" borderId="4" xfId="1" applyNumberFormat="1" applyFont="1" applyFill="1" applyBorder="1" applyAlignment="1">
      <alignment horizontal="left"/>
    </xf>
    <xf numFmtId="3" fontId="9" fillId="2" borderId="2" xfId="1" applyNumberFormat="1" applyFont="1" applyFill="1" applyBorder="1" applyAlignment="1">
      <alignment horizontal="left"/>
    </xf>
    <xf numFmtId="3" fontId="9" fillId="2" borderId="5" xfId="1" applyNumberFormat="1" applyFont="1" applyFill="1" applyBorder="1" applyAlignment="1">
      <alignment horizontal="left"/>
    </xf>
    <xf numFmtId="3" fontId="9" fillId="2" borderId="4" xfId="1" applyNumberFormat="1" applyFont="1" applyFill="1" applyBorder="1" applyAlignment="1">
      <alignment horizontal="left"/>
    </xf>
    <xf numFmtId="3" fontId="9" fillId="2" borderId="2" xfId="1" applyNumberFormat="1" applyFont="1" applyFill="1" applyBorder="1" applyAlignment="1">
      <alignment horizontal="center"/>
    </xf>
    <xf numFmtId="3" fontId="9" fillId="2" borderId="5" xfId="1" applyNumberFormat="1" applyFont="1" applyFill="1" applyBorder="1" applyAlignment="1">
      <alignment horizontal="center"/>
    </xf>
    <xf numFmtId="3" fontId="9" fillId="2" borderId="4" xfId="1" applyNumberFormat="1" applyFont="1" applyFill="1" applyBorder="1" applyAlignment="1">
      <alignment horizontal="center"/>
    </xf>
    <xf numFmtId="165" fontId="9" fillId="0" borderId="2" xfId="1" applyNumberFormat="1" applyFont="1" applyBorder="1" applyAlignment="1">
      <alignment horizontal="center"/>
    </xf>
    <xf numFmtId="165" fontId="9" fillId="0" borderId="5" xfId="1" applyNumberFormat="1" applyFont="1" applyBorder="1" applyAlignment="1">
      <alignment horizontal="center"/>
    </xf>
    <xf numFmtId="165" fontId="9" fillId="0" borderId="4" xfId="1" applyNumberFormat="1" applyFont="1" applyBorder="1" applyAlignment="1">
      <alignment horizontal="center"/>
    </xf>
    <xf numFmtId="165" fontId="33" fillId="2" borderId="2" xfId="1" applyNumberFormat="1" applyFont="1" applyFill="1" applyBorder="1" applyAlignment="1">
      <alignment horizontal="center"/>
    </xf>
    <xf numFmtId="165" fontId="33" fillId="2" borderId="5" xfId="1" applyNumberFormat="1" applyFont="1" applyFill="1" applyBorder="1" applyAlignment="1">
      <alignment horizontal="center"/>
    </xf>
    <xf numFmtId="165" fontId="33" fillId="2" borderId="4" xfId="1" applyNumberFormat="1" applyFont="1" applyFill="1" applyBorder="1" applyAlignment="1">
      <alignment horizontal="center"/>
    </xf>
    <xf numFmtId="166" fontId="33" fillId="2" borderId="2" xfId="5" applyNumberFormat="1" applyFont="1" applyFill="1" applyBorder="1" applyAlignment="1">
      <alignment horizontal="center"/>
    </xf>
    <xf numFmtId="166" fontId="33" fillId="2" borderId="5" xfId="5" applyNumberFormat="1" applyFont="1" applyFill="1" applyBorder="1" applyAlignment="1">
      <alignment horizontal="center"/>
    </xf>
    <xf numFmtId="166" fontId="33" fillId="2" borderId="4" xfId="5" applyNumberFormat="1" applyFont="1" applyFill="1" applyBorder="1" applyAlignment="1">
      <alignment horizontal="center"/>
    </xf>
    <xf numFmtId="165" fontId="33" fillId="2" borderId="2" xfId="1" applyNumberFormat="1" applyFont="1" applyFill="1" applyBorder="1"/>
    <xf numFmtId="165" fontId="33" fillId="2" borderId="5" xfId="1" applyNumberFormat="1" applyFont="1" applyFill="1" applyBorder="1"/>
    <xf numFmtId="165" fontId="33" fillId="2" borderId="4" xfId="1" applyNumberFormat="1" applyFont="1" applyFill="1" applyBorder="1"/>
    <xf numFmtId="0" fontId="33" fillId="2" borderId="2" xfId="1" applyFont="1" applyFill="1" applyBorder="1" applyAlignment="1">
      <alignment horizontal="center"/>
    </xf>
    <xf numFmtId="0" fontId="33" fillId="2" borderId="5" xfId="1" applyFont="1" applyFill="1" applyBorder="1" applyAlignment="1">
      <alignment horizontal="center"/>
    </xf>
    <xf numFmtId="0" fontId="33" fillId="2" borderId="4" xfId="1" applyFont="1" applyFill="1" applyBorder="1" applyAlignment="1">
      <alignment horizontal="center"/>
    </xf>
    <xf numFmtId="15" fontId="33" fillId="2" borderId="1" xfId="1" applyNumberFormat="1" applyFont="1" applyFill="1" applyBorder="1"/>
    <xf numFmtId="15" fontId="9" fillId="0" borderId="1" xfId="1" applyNumberFormat="1" applyFont="1" applyBorder="1" applyAlignment="1">
      <alignment horizontal="left"/>
    </xf>
    <xf numFmtId="165" fontId="9" fillId="0" borderId="2" xfId="1" applyNumberFormat="1" applyFont="1" applyBorder="1" applyAlignment="1">
      <alignment horizontal="left"/>
    </xf>
    <xf numFmtId="165" fontId="9" fillId="0" borderId="5" xfId="1" applyNumberFormat="1" applyFont="1" applyBorder="1" applyAlignment="1">
      <alignment horizontal="left"/>
    </xf>
    <xf numFmtId="165" fontId="9" fillId="0" borderId="4" xfId="1" applyNumberFormat="1" applyFont="1" applyBorder="1" applyAlignment="1">
      <alignment horizontal="left"/>
    </xf>
    <xf numFmtId="0" fontId="9" fillId="0" borderId="2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165" fontId="9" fillId="2" borderId="2" xfId="1" applyNumberFormat="1" applyFont="1" applyFill="1" applyBorder="1" applyAlignment="1">
      <alignment horizontal="center" wrapText="1"/>
    </xf>
    <xf numFmtId="165" fontId="9" fillId="2" borderId="5" xfId="1" applyNumberFormat="1" applyFont="1" applyFill="1" applyBorder="1" applyAlignment="1">
      <alignment horizontal="center" wrapText="1"/>
    </xf>
    <xf numFmtId="165" fontId="9" fillId="2" borderId="4" xfId="1" applyNumberFormat="1" applyFont="1" applyFill="1" applyBorder="1" applyAlignment="1">
      <alignment horizontal="center" wrapText="1"/>
    </xf>
    <xf numFmtId="3" fontId="9" fillId="2" borderId="2" xfId="1" applyNumberFormat="1" applyFont="1" applyFill="1" applyBorder="1" applyAlignment="1">
      <alignment horizontal="center" vertical="center"/>
    </xf>
    <xf numFmtId="3" fontId="9" fillId="2" borderId="5" xfId="1" applyNumberFormat="1" applyFont="1" applyFill="1" applyBorder="1" applyAlignment="1">
      <alignment horizontal="center" vertical="center"/>
    </xf>
    <xf numFmtId="3" fontId="9" fillId="2" borderId="4" xfId="1" applyNumberFormat="1" applyFont="1" applyFill="1" applyBorder="1" applyAlignment="1">
      <alignment horizontal="center" vertical="center"/>
    </xf>
    <xf numFmtId="38" fontId="9" fillId="2" borderId="2" xfId="1" applyNumberFormat="1" applyFont="1" applyFill="1" applyBorder="1" applyAlignment="1">
      <alignment horizontal="center"/>
    </xf>
    <xf numFmtId="38" fontId="9" fillId="2" borderId="5" xfId="1" applyNumberFormat="1" applyFont="1" applyFill="1" applyBorder="1" applyAlignment="1">
      <alignment horizontal="center"/>
    </xf>
    <xf numFmtId="38" fontId="9" fillId="2" borderId="4" xfId="1" applyNumberFormat="1" applyFont="1" applyFill="1" applyBorder="1" applyAlignment="1">
      <alignment horizontal="center"/>
    </xf>
    <xf numFmtId="165" fontId="9" fillId="2" borderId="1" xfId="1" applyNumberFormat="1" applyFont="1" applyFill="1" applyBorder="1" applyAlignment="1">
      <alignment horizontal="center"/>
    </xf>
    <xf numFmtId="3" fontId="9" fillId="2" borderId="1" xfId="1" applyNumberFormat="1" applyFont="1" applyFill="1" applyBorder="1" applyAlignment="1">
      <alignment horizontal="center"/>
    </xf>
    <xf numFmtId="17" fontId="9" fillId="2" borderId="2" xfId="1" applyNumberFormat="1" applyFont="1" applyFill="1" applyBorder="1" applyAlignment="1">
      <alignment horizontal="center"/>
    </xf>
    <xf numFmtId="17" fontId="9" fillId="2" borderId="5" xfId="1" applyNumberFormat="1" applyFont="1" applyFill="1" applyBorder="1" applyAlignment="1">
      <alignment horizontal="center"/>
    </xf>
    <xf numFmtId="17" fontId="9" fillId="2" borderId="4" xfId="1" applyNumberFormat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41" fontId="9" fillId="2" borderId="2" xfId="1" applyNumberFormat="1" applyFont="1" applyFill="1" applyBorder="1" applyAlignment="1">
      <alignment horizontal="center"/>
    </xf>
    <xf numFmtId="41" fontId="9" fillId="2" borderId="5" xfId="1" applyNumberFormat="1" applyFont="1" applyFill="1" applyBorder="1" applyAlignment="1">
      <alignment horizontal="center"/>
    </xf>
    <xf numFmtId="41" fontId="9" fillId="2" borderId="4" xfId="1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1" fontId="11" fillId="0" borderId="1" xfId="4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 wrapText="1"/>
    </xf>
  </cellXfs>
  <cellStyles count="48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8" builtinId="16" customBuiltin="1"/>
    <cellStyle name="Encabezado 4" xfId="11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5" builtinId="20" customBuiltin="1"/>
    <cellStyle name="Incorrecto" xfId="13" builtinId="27" customBuiltin="1"/>
    <cellStyle name="Millares" xfId="5" builtinId="3"/>
    <cellStyle name="Millares [0]" xfId="4" builtinId="6"/>
    <cellStyle name="Millares 2" xfId="2" xr:uid="{00000000-0005-0000-0000-000002000000}"/>
    <cellStyle name="Neutral" xfId="14" builtinId="28" customBuiltin="1"/>
    <cellStyle name="Normal" xfId="0" builtinId="0"/>
    <cellStyle name="Normal 2" xfId="3" xr:uid="{00000000-0005-0000-0000-000004000000}"/>
    <cellStyle name="Normal 3" xfId="1" xr:uid="{00000000-0005-0000-0000-000005000000}"/>
    <cellStyle name="Notas" xfId="21" builtinId="10" customBuiltin="1"/>
    <cellStyle name="Porcentaje" xfId="6" builtinId="5"/>
    <cellStyle name="Salida" xfId="16" builtinId="21" customBuiltin="1"/>
    <cellStyle name="Texto de advertencia" xfId="20" builtinId="11" customBuiltin="1"/>
    <cellStyle name="Texto explicativo" xfId="22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3" builtinId="25" customBuiltin="1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LORIA/SUBVENCIONES/SEP/2025/CONTROL%20SEP%202025.xlsx" TargetMode="External"/><Relationship Id="rId2" Type="http://schemas.openxmlformats.org/officeDocument/2006/relationships/externalLinkPath" Target="file:///C:\Users\EQUIPO4\Desktop\GLORIA\SUBVENCIONES\SEP\2025\CONTROL%20SEP%202025.xlsx" TargetMode="External"/><Relationship Id="rId1" Type="http://schemas.openxmlformats.org/officeDocument/2006/relationships/externalLinkPath" Target="/Users/EQUIPO4/Desktop/GLORIA/SUBVENCIONES/SEP/2025/CONTROL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-375"/>
      <sheetName val="G-389"/>
      <sheetName val="G-394"/>
      <sheetName val="E-403"/>
      <sheetName val="F-405"/>
      <sheetName val="F-413"/>
      <sheetName val="G-412"/>
      <sheetName val="F-407"/>
      <sheetName val="E-414"/>
      <sheetName val="G-416"/>
      <sheetName val="E-417"/>
      <sheetName val="G-418"/>
      <sheetName val="G-419"/>
      <sheetName val="E-424"/>
      <sheetName val="F-425"/>
      <sheetName val="F-426"/>
      <sheetName val="F-428"/>
      <sheetName val="G-429"/>
      <sheetName val="G-433"/>
      <sheetName val="G-446"/>
      <sheetName val="G-469"/>
      <sheetName val="LICEO"/>
      <sheetName val="AC"/>
      <sheetName val="PROPORCION GASTOS AC"/>
      <sheetName val="SUBVENCION"/>
      <sheetName val="10% AC SEP"/>
    </sheetNames>
    <sheetDataSet>
      <sheetData sheetId="0">
        <row r="112">
          <cell r="J112">
            <v>17978.79999999702</v>
          </cell>
        </row>
      </sheetData>
      <sheetData sheetId="1">
        <row r="89">
          <cell r="J89">
            <v>-60562.800000000745</v>
          </cell>
        </row>
      </sheetData>
      <sheetData sheetId="2">
        <row r="105">
          <cell r="J105">
            <v>-365551.5</v>
          </cell>
        </row>
      </sheetData>
      <sheetData sheetId="3">
        <row r="169">
          <cell r="J169">
            <v>-2782179.700000003</v>
          </cell>
        </row>
      </sheetData>
      <sheetData sheetId="4">
        <row r="125">
          <cell r="J125">
            <v>1076784.1999999881</v>
          </cell>
        </row>
      </sheetData>
      <sheetData sheetId="5">
        <row r="127">
          <cell r="J127">
            <v>1010389.5</v>
          </cell>
        </row>
      </sheetData>
      <sheetData sheetId="6">
        <row r="94">
          <cell r="J94">
            <v>516412.60000000149</v>
          </cell>
        </row>
      </sheetData>
      <sheetData sheetId="7" refreshError="1"/>
      <sheetData sheetId="8" refreshError="1"/>
      <sheetData sheetId="9" refreshError="1"/>
      <sheetData sheetId="10">
        <row r="149">
          <cell r="J149">
            <v>5843683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43">
          <cell r="J143">
            <v>-7438804.900000006</v>
          </cell>
        </row>
      </sheetData>
      <sheetData sheetId="17" refreshError="1"/>
      <sheetData sheetId="18" refreshError="1"/>
      <sheetData sheetId="19">
        <row r="93">
          <cell r="J93">
            <v>4176808.5</v>
          </cell>
        </row>
      </sheetData>
      <sheetData sheetId="20">
        <row r="69">
          <cell r="J69">
            <v>-71783.099999999627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5"/>
  <sheetViews>
    <sheetView showGridLines="0" tabSelected="1" topLeftCell="A59" workbookViewId="0">
      <selection activeCell="I74" sqref="I74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0.7109375" style="44" customWidth="1"/>
    <col min="6" max="6" width="25.7109375" style="44" bestFit="1" customWidth="1"/>
    <col min="7" max="7" width="30.7109375" style="44" customWidth="1"/>
    <col min="8" max="11" width="11.42578125" style="44"/>
    <col min="12" max="12" width="20" style="44" customWidth="1"/>
    <col min="13" max="13" width="16" style="44" customWidth="1"/>
    <col min="14" max="16384" width="11.42578125" style="44"/>
  </cols>
  <sheetData>
    <row r="1" spans="1:2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>
      <c r="A4" s="35"/>
      <c r="B4" s="335" t="s">
        <v>123</v>
      </c>
      <c r="C4" s="336"/>
      <c r="D4" s="336"/>
      <c r="E4" s="336"/>
      <c r="F4" s="336"/>
      <c r="G4" s="336"/>
      <c r="H4" s="336"/>
      <c r="I4" s="336"/>
      <c r="J4" s="337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5"/>
      <c r="B5" s="335" t="s">
        <v>72</v>
      </c>
      <c r="C5" s="336"/>
      <c r="D5" s="336"/>
      <c r="E5" s="336"/>
      <c r="F5" s="336"/>
      <c r="G5" s="336"/>
      <c r="H5" s="336"/>
      <c r="I5" s="336"/>
      <c r="J5" s="337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>
      <c r="A6" s="35"/>
      <c r="B6" s="98" t="s">
        <v>73</v>
      </c>
      <c r="C6" s="99" t="s">
        <v>124</v>
      </c>
      <c r="D6" s="99"/>
      <c r="E6" s="99"/>
      <c r="F6" s="99"/>
      <c r="G6" s="99"/>
      <c r="H6" s="99"/>
      <c r="I6" s="99"/>
      <c r="J6" s="100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>
      <c r="A7" s="35"/>
      <c r="B7" s="338" t="s">
        <v>2</v>
      </c>
      <c r="C7" s="339"/>
      <c r="D7" s="339"/>
      <c r="E7" s="339"/>
      <c r="F7" s="339"/>
      <c r="G7" s="339"/>
      <c r="H7" s="339"/>
      <c r="I7" s="339"/>
      <c r="J7" s="340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>
      <c r="A9" s="35"/>
      <c r="B9" s="41"/>
      <c r="C9" s="42"/>
      <c r="D9" s="42"/>
      <c r="E9" s="42"/>
      <c r="F9" s="42"/>
      <c r="G9" s="45" t="s">
        <v>236</v>
      </c>
      <c r="H9" s="37">
        <f>'[1]F-375'!$J$112</f>
        <v>17978.79999999702</v>
      </c>
      <c r="I9" s="37"/>
      <c r="J9" s="300">
        <f>+H9-I9</f>
        <v>17978.79999999702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3">
      <c r="A10" s="35"/>
      <c r="B10" s="320" t="s">
        <v>66</v>
      </c>
      <c r="C10" s="321"/>
      <c r="D10" s="321"/>
      <c r="E10" s="321"/>
      <c r="F10" s="321"/>
      <c r="G10" s="321"/>
      <c r="H10" s="321"/>
      <c r="I10" s="321"/>
      <c r="J10" s="322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</row>
    <row r="11" spans="1:23">
      <c r="A11" s="35"/>
      <c r="B11" s="41"/>
      <c r="C11" s="42"/>
      <c r="D11" s="42"/>
      <c r="E11" s="42"/>
      <c r="F11" s="42" t="s">
        <v>171</v>
      </c>
      <c r="G11" s="42" t="s">
        <v>171</v>
      </c>
      <c r="H11" s="37">
        <f>SUBVENCION!C8+SUBVENCION!D8</f>
        <v>6709442</v>
      </c>
      <c r="I11" s="37"/>
      <c r="J11" s="300">
        <f>+J9+H11-I11</f>
        <v>6727420.799999997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>
      <c r="A12" s="35"/>
      <c r="B12" s="41"/>
      <c r="C12" s="42"/>
      <c r="D12" s="42"/>
      <c r="E12" s="42"/>
      <c r="F12" s="42" t="s">
        <v>199</v>
      </c>
      <c r="G12" s="42" t="s">
        <v>199</v>
      </c>
      <c r="H12" s="37"/>
      <c r="I12" s="37">
        <v>5401335</v>
      </c>
      <c r="J12" s="300">
        <f>+J11+H12-I12</f>
        <v>1326085.799999997</v>
      </c>
      <c r="K12" s="35" t="s">
        <v>66</v>
      </c>
      <c r="L12" s="97" t="s">
        <v>5</v>
      </c>
      <c r="M12" s="97" t="s">
        <v>214</v>
      </c>
      <c r="N12" s="97" t="s">
        <v>212</v>
      </c>
      <c r="O12" s="97" t="s">
        <v>213</v>
      </c>
      <c r="P12" s="97" t="s">
        <v>7</v>
      </c>
      <c r="Q12" s="35"/>
      <c r="R12" s="35"/>
      <c r="S12" s="35"/>
      <c r="T12" s="35"/>
      <c r="U12" s="35"/>
      <c r="V12" s="35"/>
      <c r="W12" s="35"/>
    </row>
    <row r="13" spans="1:23">
      <c r="A13" s="35"/>
      <c r="B13" s="41"/>
      <c r="C13" s="42"/>
      <c r="D13" s="42"/>
      <c r="E13" s="42"/>
      <c r="F13" s="42"/>
      <c r="G13" s="45"/>
      <c r="H13" s="37"/>
      <c r="I13" s="37"/>
      <c r="J13" s="300">
        <f t="shared" ref="J13:J14" si="0">+J12+H13-I13</f>
        <v>1326085.799999997</v>
      </c>
      <c r="K13" s="35"/>
      <c r="L13" s="37">
        <f>+H11</f>
        <v>6709442</v>
      </c>
      <c r="M13" s="51">
        <f>+L13*10%</f>
        <v>670944.20000000007</v>
      </c>
      <c r="N13" s="51">
        <f>+I12</f>
        <v>5401335</v>
      </c>
      <c r="O13" s="51">
        <f>SUM(I13:I14)</f>
        <v>0</v>
      </c>
      <c r="P13" s="303">
        <f>+L13-M13-N13-O13</f>
        <v>637162.79999999981</v>
      </c>
      <c r="Q13" s="35"/>
      <c r="R13" s="35"/>
      <c r="S13" s="35"/>
      <c r="T13" s="35"/>
      <c r="U13" s="35"/>
      <c r="V13" s="35"/>
      <c r="W13" s="35"/>
    </row>
    <row r="14" spans="1:23">
      <c r="A14" s="35"/>
      <c r="B14" s="41"/>
      <c r="C14" s="42"/>
      <c r="D14" s="42"/>
      <c r="E14" s="42"/>
      <c r="F14" s="42"/>
      <c r="G14" s="45"/>
      <c r="H14" s="37"/>
      <c r="I14" s="37"/>
      <c r="J14" s="300">
        <f t="shared" si="0"/>
        <v>1326085.799999997</v>
      </c>
      <c r="K14" s="35"/>
      <c r="L14" s="155"/>
      <c r="M14" s="156"/>
      <c r="N14" s="156"/>
      <c r="O14" s="156"/>
      <c r="P14" s="157"/>
      <c r="Q14" s="35"/>
      <c r="R14" s="35"/>
      <c r="S14" s="35"/>
      <c r="T14" s="35"/>
      <c r="U14" s="35"/>
      <c r="V14" s="35"/>
      <c r="W14" s="35"/>
    </row>
    <row r="15" spans="1:23">
      <c r="A15" s="35"/>
      <c r="B15" s="320" t="s">
        <v>67</v>
      </c>
      <c r="C15" s="321"/>
      <c r="D15" s="321"/>
      <c r="E15" s="321"/>
      <c r="F15" s="321"/>
      <c r="G15" s="321"/>
      <c r="H15" s="321"/>
      <c r="I15" s="321"/>
      <c r="J15" s="322"/>
      <c r="K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3">
      <c r="A16" s="35"/>
      <c r="B16" s="41"/>
      <c r="C16" s="42"/>
      <c r="D16" s="42"/>
      <c r="E16" s="42"/>
      <c r="F16" s="42" t="s">
        <v>171</v>
      </c>
      <c r="G16" s="42" t="s">
        <v>171</v>
      </c>
      <c r="H16" s="37">
        <f>SUBVENCION!E8+SUBVENCION!F8</f>
        <v>7112717</v>
      </c>
      <c r="I16" s="37"/>
      <c r="J16" s="300">
        <f>J14+H16-I16</f>
        <v>8438802.799999997</v>
      </c>
      <c r="K16" s="35" t="s">
        <v>67</v>
      </c>
      <c r="L16" s="97" t="s">
        <v>5</v>
      </c>
      <c r="M16" s="97" t="s">
        <v>214</v>
      </c>
      <c r="N16" s="97" t="s">
        <v>212</v>
      </c>
      <c r="O16" s="97" t="s">
        <v>213</v>
      </c>
      <c r="P16" s="97" t="s">
        <v>7</v>
      </c>
      <c r="Q16" s="35"/>
      <c r="R16" s="35"/>
      <c r="S16" s="35"/>
      <c r="T16" s="35"/>
      <c r="U16" s="35"/>
      <c r="V16" s="35"/>
      <c r="W16" s="35"/>
    </row>
    <row r="17" spans="1:23">
      <c r="A17" s="35"/>
      <c r="B17" s="41"/>
      <c r="C17" s="42"/>
      <c r="D17" s="42"/>
      <c r="E17" s="42"/>
      <c r="F17" s="42" t="s">
        <v>199</v>
      </c>
      <c r="G17" s="42" t="s">
        <v>199</v>
      </c>
      <c r="H17" s="37"/>
      <c r="I17" s="37">
        <v>5863538</v>
      </c>
      <c r="J17" s="300">
        <f>J16+H17-I17</f>
        <v>2575264.799999997</v>
      </c>
      <c r="K17" s="35"/>
      <c r="L17" s="37">
        <f>+H16</f>
        <v>7112717</v>
      </c>
      <c r="M17" s="51">
        <f>+L17*10%</f>
        <v>711271.70000000007</v>
      </c>
      <c r="N17" s="51">
        <f>+I17</f>
        <v>5863538</v>
      </c>
      <c r="O17" s="51">
        <v>0</v>
      </c>
      <c r="P17" s="303">
        <f>+L17-M17-N17-O17</f>
        <v>537907.29999999981</v>
      </c>
      <c r="Q17" s="35"/>
      <c r="R17" s="35"/>
      <c r="S17" s="35"/>
      <c r="T17" s="35"/>
      <c r="U17" s="35"/>
      <c r="V17" s="35"/>
      <c r="W17" s="35"/>
    </row>
    <row r="18" spans="1:23">
      <c r="A18" s="35"/>
      <c r="B18" s="320" t="s">
        <v>68</v>
      </c>
      <c r="C18" s="321"/>
      <c r="D18" s="321"/>
      <c r="E18" s="321"/>
      <c r="F18" s="321"/>
      <c r="G18" s="321"/>
      <c r="H18" s="321"/>
      <c r="I18" s="321"/>
      <c r="J18" s="322"/>
      <c r="K18" s="35"/>
      <c r="L18" s="35"/>
      <c r="M18" s="194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>
      <c r="A19" s="35"/>
      <c r="B19" s="41"/>
      <c r="C19" s="42"/>
      <c r="D19" s="42"/>
      <c r="E19" s="42"/>
      <c r="F19" s="42" t="s">
        <v>171</v>
      </c>
      <c r="G19" s="42" t="s">
        <v>171</v>
      </c>
      <c r="H19" s="37">
        <f>SUBVENCION!G8+SUBVENCION!H8</f>
        <v>6843635</v>
      </c>
      <c r="I19" s="37"/>
      <c r="J19" s="300">
        <f>J17+H19-I19</f>
        <v>9418899.799999997</v>
      </c>
      <c r="K19" s="35" t="s">
        <v>68</v>
      </c>
      <c r="L19" s="97" t="s">
        <v>5</v>
      </c>
      <c r="M19" s="97" t="s">
        <v>214</v>
      </c>
      <c r="N19" s="97" t="s">
        <v>212</v>
      </c>
      <c r="O19" s="97" t="s">
        <v>213</v>
      </c>
      <c r="P19" s="97" t="s">
        <v>7</v>
      </c>
      <c r="Q19" s="35"/>
      <c r="R19" s="35"/>
      <c r="S19" s="35"/>
      <c r="T19" s="35"/>
      <c r="U19" s="35"/>
      <c r="V19" s="35"/>
      <c r="W19" s="35"/>
    </row>
    <row r="20" spans="1:23">
      <c r="A20" s="35"/>
      <c r="B20" s="41"/>
      <c r="C20" s="42"/>
      <c r="D20" s="42"/>
      <c r="E20" s="42"/>
      <c r="F20" s="42" t="s">
        <v>199</v>
      </c>
      <c r="G20" s="42" t="s">
        <v>199</v>
      </c>
      <c r="H20" s="37"/>
      <c r="I20" s="102">
        <v>3700552</v>
      </c>
      <c r="J20" s="300">
        <f>J19+H20-I20</f>
        <v>5718347.799999997</v>
      </c>
      <c r="K20" s="35"/>
      <c r="L20" s="37">
        <f>+H19</f>
        <v>6843635</v>
      </c>
      <c r="M20" s="51">
        <f>+L20*10%</f>
        <v>684363.5</v>
      </c>
      <c r="N20" s="51">
        <f>+I20</f>
        <v>3700552</v>
      </c>
      <c r="O20" s="51">
        <f>SUM(I21:I28)</f>
        <v>1982873</v>
      </c>
      <c r="P20" s="303">
        <f>+L20-M20-N20-O20</f>
        <v>475846.5</v>
      </c>
      <c r="Q20" s="35"/>
      <c r="R20" s="35"/>
      <c r="S20" s="35"/>
      <c r="T20" s="35"/>
      <c r="U20" s="35"/>
      <c r="V20" s="35"/>
      <c r="W20" s="35"/>
    </row>
    <row r="21" spans="1:23">
      <c r="A21" s="35"/>
      <c r="B21" s="41">
        <v>46090</v>
      </c>
      <c r="C21" s="42">
        <v>3</v>
      </c>
      <c r="D21" s="42">
        <v>74</v>
      </c>
      <c r="E21" s="42">
        <v>257</v>
      </c>
      <c r="F21" s="42" t="s">
        <v>267</v>
      </c>
      <c r="G21" s="45" t="s">
        <v>240</v>
      </c>
      <c r="H21" s="37"/>
      <c r="I21" s="37">
        <v>208500</v>
      </c>
      <c r="J21" s="300">
        <f t="shared" ref="J21:J28" si="1">J20+H21-I21</f>
        <v>5509847.799999997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 spans="1:23">
      <c r="A22" s="35"/>
      <c r="B22" s="41">
        <v>46090</v>
      </c>
      <c r="C22" s="42">
        <v>4</v>
      </c>
      <c r="D22" s="42">
        <v>75</v>
      </c>
      <c r="E22" s="42">
        <v>267</v>
      </c>
      <c r="F22" s="42" t="s">
        <v>267</v>
      </c>
      <c r="G22" s="45" t="s">
        <v>240</v>
      </c>
      <c r="H22" s="37"/>
      <c r="I22" s="37">
        <v>209649</v>
      </c>
      <c r="J22" s="300">
        <f t="shared" si="1"/>
        <v>5300198.799999997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spans="1:23">
      <c r="A23" s="35"/>
      <c r="B23" s="41">
        <v>46090</v>
      </c>
      <c r="C23" s="42">
        <v>5</v>
      </c>
      <c r="D23" s="42">
        <v>76</v>
      </c>
      <c r="E23" s="42">
        <v>271</v>
      </c>
      <c r="F23" s="42" t="s">
        <v>278</v>
      </c>
      <c r="G23" s="45" t="s">
        <v>271</v>
      </c>
      <c r="H23" s="37"/>
      <c r="I23" s="37">
        <v>191120</v>
      </c>
      <c r="J23" s="300">
        <f t="shared" si="1"/>
        <v>5109078.799999997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1:23">
      <c r="A24" s="35"/>
      <c r="B24" s="41">
        <v>46100</v>
      </c>
      <c r="C24" s="42">
        <v>6</v>
      </c>
      <c r="D24" s="42">
        <v>145</v>
      </c>
      <c r="E24" s="42">
        <v>410</v>
      </c>
      <c r="F24" s="42" t="s">
        <v>267</v>
      </c>
      <c r="G24" s="45" t="s">
        <v>240</v>
      </c>
      <c r="H24" s="37"/>
      <c r="I24" s="37">
        <v>209400</v>
      </c>
      <c r="J24" s="300">
        <f t="shared" si="1"/>
        <v>4899678.799999997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1:23">
      <c r="A25" s="35"/>
      <c r="B25" s="41">
        <v>46100</v>
      </c>
      <c r="C25" s="42">
        <v>7</v>
      </c>
      <c r="D25" s="42">
        <v>146</v>
      </c>
      <c r="E25" s="42">
        <v>382</v>
      </c>
      <c r="F25" s="42" t="s">
        <v>267</v>
      </c>
      <c r="G25" s="45" t="s">
        <v>240</v>
      </c>
      <c r="H25" s="37"/>
      <c r="I25" s="37">
        <v>209901</v>
      </c>
      <c r="J25" s="300">
        <f t="shared" si="1"/>
        <v>4689777.799999997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1:23">
      <c r="A26" s="35"/>
      <c r="B26" s="41">
        <v>46101</v>
      </c>
      <c r="C26" s="42">
        <v>8</v>
      </c>
      <c r="D26" s="42">
        <v>147</v>
      </c>
      <c r="E26" s="42">
        <v>599</v>
      </c>
      <c r="F26" s="42" t="s">
        <v>242</v>
      </c>
      <c r="G26" s="42" t="s">
        <v>242</v>
      </c>
      <c r="H26" s="37"/>
      <c r="I26" s="37">
        <v>103360</v>
      </c>
      <c r="J26" s="300">
        <f t="shared" si="1"/>
        <v>4586417.799999997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1:23">
      <c r="A27" s="35"/>
      <c r="B27" s="210">
        <v>46111</v>
      </c>
      <c r="C27" s="151">
        <v>10</v>
      </c>
      <c r="D27" s="151" t="s">
        <v>288</v>
      </c>
      <c r="E27" s="151" t="s">
        <v>367</v>
      </c>
      <c r="F27" s="151" t="s">
        <v>222</v>
      </c>
      <c r="G27" s="151" t="s">
        <v>222</v>
      </c>
      <c r="H27" s="113"/>
      <c r="I27" s="113"/>
      <c r="J27" s="300">
        <f t="shared" si="1"/>
        <v>4586417.799999997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 spans="1:23">
      <c r="A28" s="35"/>
      <c r="B28" s="41">
        <v>46101</v>
      </c>
      <c r="C28" s="42">
        <v>9</v>
      </c>
      <c r="D28" s="42" t="s">
        <v>472</v>
      </c>
      <c r="E28" s="42">
        <v>1035</v>
      </c>
      <c r="F28" s="42" t="s">
        <v>267</v>
      </c>
      <c r="G28" s="42" t="s">
        <v>376</v>
      </c>
      <c r="H28" s="37"/>
      <c r="I28" s="37">
        <v>850943</v>
      </c>
      <c r="J28" s="300">
        <f t="shared" si="1"/>
        <v>3735474.799999997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 spans="1:23">
      <c r="B29" s="330" t="s">
        <v>69</v>
      </c>
      <c r="C29" s="331"/>
      <c r="D29" s="331"/>
      <c r="E29" s="331"/>
      <c r="F29" s="331"/>
      <c r="G29" s="331"/>
      <c r="H29" s="331"/>
      <c r="I29" s="331"/>
      <c r="J29" s="332"/>
    </row>
    <row r="30" spans="1:23">
      <c r="B30" s="41"/>
      <c r="C30" s="42"/>
      <c r="D30" s="42"/>
      <c r="E30" s="42"/>
      <c r="F30" s="42" t="s">
        <v>171</v>
      </c>
      <c r="G30" s="42" t="s">
        <v>171</v>
      </c>
      <c r="H30" s="37">
        <f>SUBVENCION!I8+SUBVENCION!J8</f>
        <v>6180358</v>
      </c>
      <c r="I30" s="37"/>
      <c r="J30" s="300">
        <f>J28+H30-I30</f>
        <v>9915832.799999997</v>
      </c>
      <c r="K30" s="44" t="s">
        <v>69</v>
      </c>
      <c r="L30" s="97" t="s">
        <v>5</v>
      </c>
      <c r="M30" s="97" t="s">
        <v>214</v>
      </c>
      <c r="N30" s="97" t="s">
        <v>212</v>
      </c>
      <c r="O30" s="97" t="s">
        <v>213</v>
      </c>
      <c r="P30" s="97" t="s">
        <v>7</v>
      </c>
    </row>
    <row r="31" spans="1:23">
      <c r="B31" s="41"/>
      <c r="C31" s="42"/>
      <c r="D31" s="42"/>
      <c r="E31" s="42"/>
      <c r="F31" s="42" t="s">
        <v>199</v>
      </c>
      <c r="G31" s="42" t="s">
        <v>199</v>
      </c>
      <c r="H31" s="37"/>
      <c r="I31" s="37">
        <v>4257476</v>
      </c>
      <c r="J31" s="300">
        <f>J30+H31-I31</f>
        <v>5658356.799999997</v>
      </c>
      <c r="L31" s="37">
        <f>+H30</f>
        <v>6180358</v>
      </c>
      <c r="M31" s="51">
        <f>+L31*10%</f>
        <v>618035.80000000005</v>
      </c>
      <c r="N31" s="51">
        <f>+I31</f>
        <v>4257476</v>
      </c>
      <c r="O31" s="51">
        <f>SUM(I32:I35)</f>
        <v>538661</v>
      </c>
      <c r="P31" s="303">
        <f>+L31-M31-N31-O31</f>
        <v>766185.20000000019</v>
      </c>
    </row>
    <row r="32" spans="1:23">
      <c r="B32" s="41">
        <v>45768</v>
      </c>
      <c r="C32" s="42">
        <v>13</v>
      </c>
      <c r="D32" s="42">
        <v>326</v>
      </c>
      <c r="E32" s="42">
        <v>744</v>
      </c>
      <c r="F32" s="42" t="s">
        <v>295</v>
      </c>
      <c r="G32" s="45" t="s">
        <v>261</v>
      </c>
      <c r="H32" s="37"/>
      <c r="I32" s="37">
        <v>187000</v>
      </c>
      <c r="J32" s="300">
        <f t="shared" ref="J32:J36" si="2">J31+H32-I32</f>
        <v>5471356.799999997</v>
      </c>
    </row>
    <row r="33" spans="1:16">
      <c r="B33" s="41">
        <v>46147</v>
      </c>
      <c r="C33" s="42">
        <v>16</v>
      </c>
      <c r="D33" s="42">
        <v>389</v>
      </c>
      <c r="E33" s="42">
        <v>599</v>
      </c>
      <c r="F33" s="42" t="s">
        <v>242</v>
      </c>
      <c r="G33" s="42" t="s">
        <v>242</v>
      </c>
      <c r="H33" s="37"/>
      <c r="I33" s="37">
        <v>144660</v>
      </c>
      <c r="J33" s="300">
        <f t="shared" si="2"/>
        <v>5326696.799999997</v>
      </c>
    </row>
    <row r="34" spans="1:16">
      <c r="B34" s="41">
        <v>46133</v>
      </c>
      <c r="C34" s="42">
        <v>14</v>
      </c>
      <c r="D34" s="42">
        <v>483</v>
      </c>
      <c r="E34" s="42">
        <v>745</v>
      </c>
      <c r="F34" s="42" t="s">
        <v>267</v>
      </c>
      <c r="G34" s="45" t="s">
        <v>240</v>
      </c>
      <c r="H34" s="37"/>
      <c r="I34" s="37">
        <v>207001</v>
      </c>
      <c r="J34" s="300">
        <f t="shared" si="2"/>
        <v>5119695.799999997</v>
      </c>
    </row>
    <row r="35" spans="1:16">
      <c r="B35" s="41"/>
      <c r="C35" s="42"/>
      <c r="D35" s="42"/>
      <c r="E35" s="42"/>
      <c r="F35" s="42"/>
      <c r="G35" s="45"/>
      <c r="H35" s="37"/>
      <c r="I35" s="37"/>
      <c r="J35" s="300">
        <f t="shared" si="2"/>
        <v>5119695.799999997</v>
      </c>
    </row>
    <row r="36" spans="1:16">
      <c r="B36" s="41"/>
      <c r="C36" s="42"/>
      <c r="D36" s="42"/>
      <c r="E36" s="42"/>
      <c r="F36" s="42"/>
      <c r="G36" s="45"/>
      <c r="H36" s="37"/>
      <c r="I36" s="37"/>
      <c r="J36" s="300">
        <f t="shared" si="2"/>
        <v>5119695.799999997</v>
      </c>
    </row>
    <row r="37" spans="1:16">
      <c r="B37" s="320" t="s">
        <v>120</v>
      </c>
      <c r="C37" s="321"/>
      <c r="D37" s="321"/>
      <c r="E37" s="321"/>
      <c r="F37" s="321"/>
      <c r="G37" s="321"/>
      <c r="H37" s="321"/>
      <c r="I37" s="321"/>
      <c r="J37" s="322"/>
    </row>
    <row r="38" spans="1:16">
      <c r="B38" s="41"/>
      <c r="C38" s="42"/>
      <c r="D38" s="42"/>
      <c r="E38" s="42"/>
      <c r="F38" s="42" t="s">
        <v>171</v>
      </c>
      <c r="G38" s="42" t="s">
        <v>171</v>
      </c>
      <c r="H38" s="37">
        <f>SUBVENCION!K8+SUBVENCION!L8</f>
        <v>6212352</v>
      </c>
      <c r="I38" s="37"/>
      <c r="J38" s="300">
        <f>J36+H38-I38</f>
        <v>11332047.799999997</v>
      </c>
      <c r="K38" s="44" t="s">
        <v>120</v>
      </c>
      <c r="L38" s="97" t="s">
        <v>5</v>
      </c>
      <c r="M38" s="97" t="s">
        <v>214</v>
      </c>
      <c r="N38" s="97" t="s">
        <v>212</v>
      </c>
      <c r="O38" s="97" t="s">
        <v>213</v>
      </c>
      <c r="P38" s="97" t="s">
        <v>7</v>
      </c>
    </row>
    <row r="39" spans="1:16">
      <c r="B39" s="41"/>
      <c r="C39" s="42"/>
      <c r="D39" s="42"/>
      <c r="E39" s="42"/>
      <c r="F39" s="42" t="s">
        <v>199</v>
      </c>
      <c r="G39" s="42" t="s">
        <v>199</v>
      </c>
      <c r="H39" s="37"/>
      <c r="I39" s="37">
        <v>4243795</v>
      </c>
      <c r="J39" s="300">
        <f>J38+H39-I39</f>
        <v>7088252.799999997</v>
      </c>
      <c r="L39" s="37">
        <f>+H38</f>
        <v>6212352</v>
      </c>
      <c r="M39" s="51">
        <f>+L39*10%</f>
        <v>621235.20000000007</v>
      </c>
      <c r="N39" s="51">
        <f>+I39</f>
        <v>4243795</v>
      </c>
      <c r="O39" s="51">
        <f>+I40+I41+I42+I43</f>
        <v>624429</v>
      </c>
      <c r="P39" s="303">
        <f>+L39-M39-N39-O39</f>
        <v>722892.79999999981</v>
      </c>
    </row>
    <row r="40" spans="1:16">
      <c r="B40" s="41">
        <v>46156</v>
      </c>
      <c r="C40" s="42">
        <v>19</v>
      </c>
      <c r="D40" s="42">
        <v>451</v>
      </c>
      <c r="E40" s="42">
        <v>747</v>
      </c>
      <c r="F40" s="42" t="s">
        <v>242</v>
      </c>
      <c r="G40" s="42" t="s">
        <v>242</v>
      </c>
      <c r="H40" s="37"/>
      <c r="I40" s="37">
        <v>178040</v>
      </c>
      <c r="J40" s="300">
        <f t="shared" ref="J40:J45" si="3">J39+H40-I40</f>
        <v>6910212.799999997</v>
      </c>
    </row>
    <row r="41" spans="1:16">
      <c r="B41" s="41">
        <v>46160</v>
      </c>
      <c r="C41" s="42">
        <v>17</v>
      </c>
      <c r="D41" s="42">
        <v>484</v>
      </c>
      <c r="E41" s="79"/>
      <c r="F41" s="42" t="s">
        <v>278</v>
      </c>
      <c r="G41" s="42" t="s">
        <v>278</v>
      </c>
      <c r="H41" s="37"/>
      <c r="I41" s="37">
        <v>179980</v>
      </c>
      <c r="J41" s="300">
        <f t="shared" si="3"/>
        <v>6730232.799999997</v>
      </c>
    </row>
    <row r="42" spans="1:16">
      <c r="A42" s="44" t="s">
        <v>223</v>
      </c>
      <c r="B42" s="41" t="s">
        <v>463</v>
      </c>
      <c r="C42" s="42">
        <v>21</v>
      </c>
      <c r="D42" s="42">
        <v>515</v>
      </c>
      <c r="E42" s="42">
        <v>1021</v>
      </c>
      <c r="F42" s="42" t="s">
        <v>267</v>
      </c>
      <c r="G42" s="45" t="s">
        <v>240</v>
      </c>
      <c r="H42" s="37"/>
      <c r="I42" s="37">
        <f>174668+36811</f>
        <v>211479</v>
      </c>
      <c r="J42" s="300">
        <f t="shared" si="3"/>
        <v>6518753.799999997</v>
      </c>
    </row>
    <row r="43" spans="1:16">
      <c r="B43" s="41">
        <v>46169</v>
      </c>
      <c r="C43" s="42">
        <v>20</v>
      </c>
      <c r="D43" s="42">
        <v>491</v>
      </c>
      <c r="E43" s="42">
        <v>1076</v>
      </c>
      <c r="F43" s="42" t="s">
        <v>267</v>
      </c>
      <c r="G43" s="45" t="s">
        <v>469</v>
      </c>
      <c r="H43" s="37"/>
      <c r="I43" s="37">
        <v>54930</v>
      </c>
      <c r="J43" s="300">
        <f t="shared" si="3"/>
        <v>6463823.799999997</v>
      </c>
    </row>
    <row r="44" spans="1:16">
      <c r="B44" s="41"/>
      <c r="C44" s="42"/>
      <c r="D44" s="42"/>
      <c r="E44" s="42"/>
      <c r="F44" s="42"/>
      <c r="G44" s="45"/>
      <c r="H44" s="37"/>
      <c r="I44" s="37"/>
      <c r="J44" s="300">
        <f t="shared" si="3"/>
        <v>6463823.799999997</v>
      </c>
    </row>
    <row r="45" spans="1:16">
      <c r="B45" s="41"/>
      <c r="C45" s="42"/>
      <c r="D45" s="42"/>
      <c r="E45" s="42"/>
      <c r="F45" s="42"/>
      <c r="G45" s="45"/>
      <c r="H45" s="37"/>
      <c r="I45" s="37"/>
      <c r="J45" s="300">
        <f t="shared" si="3"/>
        <v>6463823.799999997</v>
      </c>
    </row>
    <row r="46" spans="1:16">
      <c r="B46" s="320" t="s">
        <v>129</v>
      </c>
      <c r="C46" s="321"/>
      <c r="D46" s="321"/>
      <c r="E46" s="321"/>
      <c r="F46" s="321"/>
      <c r="G46" s="321"/>
      <c r="H46" s="321"/>
      <c r="I46" s="321"/>
      <c r="J46" s="322"/>
    </row>
    <row r="47" spans="1:16">
      <c r="B47" s="41"/>
      <c r="C47" s="42"/>
      <c r="D47" s="42"/>
      <c r="E47" s="42"/>
      <c r="F47" s="42" t="s">
        <v>171</v>
      </c>
      <c r="G47" s="42" t="s">
        <v>171</v>
      </c>
      <c r="H47" s="37">
        <f>SUBVENCION!M8+SUBVENCION!N8</f>
        <v>5427751</v>
      </c>
      <c r="I47" s="37"/>
      <c r="J47" s="300">
        <f>J45+H47-I47</f>
        <v>11891574.799999997</v>
      </c>
      <c r="K47" s="44" t="s">
        <v>129</v>
      </c>
      <c r="L47" s="97" t="s">
        <v>5</v>
      </c>
      <c r="M47" s="97" t="s">
        <v>214</v>
      </c>
      <c r="N47" s="97" t="s">
        <v>212</v>
      </c>
      <c r="O47" s="97" t="s">
        <v>213</v>
      </c>
      <c r="P47" s="97" t="s">
        <v>7</v>
      </c>
    </row>
    <row r="48" spans="1:16">
      <c r="B48" s="41"/>
      <c r="C48" s="42"/>
      <c r="D48" s="42"/>
      <c r="E48" s="42"/>
      <c r="F48" s="42" t="s">
        <v>199</v>
      </c>
      <c r="G48" s="42" t="s">
        <v>199</v>
      </c>
      <c r="H48" s="37"/>
      <c r="I48" s="37">
        <v>4316590</v>
      </c>
      <c r="J48" s="300">
        <f>J47+H48-I48</f>
        <v>7574984.799999997</v>
      </c>
      <c r="L48" s="37">
        <f>+H47</f>
        <v>5427751</v>
      </c>
      <c r="M48" s="51">
        <f>+L48*10%</f>
        <v>542775.1</v>
      </c>
      <c r="N48" s="51">
        <f>+I48</f>
        <v>4316590</v>
      </c>
      <c r="O48" s="51">
        <f>+I49+I50+I51</f>
        <v>261450</v>
      </c>
      <c r="P48" s="303">
        <f>+L48-M48-N48-O48</f>
        <v>306935.90000000037</v>
      </c>
    </row>
    <row r="49" spans="2:16">
      <c r="B49" s="41">
        <v>46182</v>
      </c>
      <c r="C49" s="42">
        <v>22</v>
      </c>
      <c r="D49" s="42">
        <v>559</v>
      </c>
      <c r="E49" s="42">
        <v>982</v>
      </c>
      <c r="F49" s="42" t="s">
        <v>359</v>
      </c>
      <c r="G49" s="45" t="s">
        <v>485</v>
      </c>
      <c r="H49" s="37"/>
      <c r="I49" s="37">
        <v>81000</v>
      </c>
      <c r="J49" s="300">
        <f t="shared" ref="J49:J52" si="4">J48+H49-I49</f>
        <v>7493984.799999997</v>
      </c>
    </row>
    <row r="50" spans="2:16">
      <c r="B50" s="41">
        <v>46184</v>
      </c>
      <c r="C50" s="42">
        <v>24</v>
      </c>
      <c r="D50" s="42">
        <v>577</v>
      </c>
      <c r="E50" s="42">
        <v>958</v>
      </c>
      <c r="F50" s="42" t="s">
        <v>278</v>
      </c>
      <c r="G50" s="45" t="s">
        <v>271</v>
      </c>
      <c r="H50" s="37"/>
      <c r="I50" s="37">
        <v>180450</v>
      </c>
      <c r="J50" s="300">
        <f t="shared" si="4"/>
        <v>7313534.799999997</v>
      </c>
    </row>
    <row r="51" spans="2:16">
      <c r="B51" s="41"/>
      <c r="C51" s="42"/>
      <c r="D51" s="42"/>
      <c r="E51" s="42"/>
      <c r="F51" s="42"/>
      <c r="G51" s="45"/>
      <c r="H51" s="37"/>
      <c r="I51" s="37"/>
      <c r="J51" s="300">
        <f t="shared" si="4"/>
        <v>7313534.799999997</v>
      </c>
    </row>
    <row r="52" spans="2:16">
      <c r="B52" s="41"/>
      <c r="C52" s="42"/>
      <c r="D52" s="42"/>
      <c r="E52" s="42"/>
      <c r="F52" s="42"/>
      <c r="G52" s="45"/>
      <c r="H52" s="37"/>
      <c r="I52" s="37"/>
      <c r="J52" s="300">
        <f t="shared" si="4"/>
        <v>7313534.799999997</v>
      </c>
    </row>
    <row r="53" spans="2:16">
      <c r="B53" s="320" t="s">
        <v>65</v>
      </c>
      <c r="C53" s="321"/>
      <c r="D53" s="321"/>
      <c r="E53" s="321"/>
      <c r="F53" s="321"/>
      <c r="G53" s="321"/>
      <c r="H53" s="321"/>
      <c r="I53" s="321"/>
      <c r="J53" s="322"/>
    </row>
    <row r="54" spans="2:16">
      <c r="B54" s="41"/>
      <c r="C54" s="42"/>
      <c r="D54" s="42"/>
      <c r="E54" s="42"/>
      <c r="F54" s="42" t="s">
        <v>171</v>
      </c>
      <c r="G54" s="42" t="s">
        <v>171</v>
      </c>
      <c r="H54" s="37">
        <f>+SUBVENCION!O8+SUBVENCION!P8</f>
        <v>6141394</v>
      </c>
      <c r="I54" s="37"/>
      <c r="J54" s="300">
        <f>J52+H54-I54</f>
        <v>13454928.799999997</v>
      </c>
      <c r="K54" s="44" t="s">
        <v>65</v>
      </c>
      <c r="L54" s="97" t="s">
        <v>5</v>
      </c>
      <c r="M54" s="97" t="s">
        <v>214</v>
      </c>
      <c r="N54" s="97" t="s">
        <v>212</v>
      </c>
      <c r="O54" s="97" t="s">
        <v>213</v>
      </c>
      <c r="P54" s="97" t="s">
        <v>7</v>
      </c>
    </row>
    <row r="55" spans="2:16">
      <c r="B55" s="41"/>
      <c r="C55" s="42"/>
      <c r="D55" s="42"/>
      <c r="E55" s="42"/>
      <c r="F55" s="42" t="s">
        <v>199</v>
      </c>
      <c r="G55" s="42" t="s">
        <v>199</v>
      </c>
      <c r="H55" s="37"/>
      <c r="I55" s="37">
        <v>4130617</v>
      </c>
      <c r="J55" s="300">
        <f>J54+H55-I55</f>
        <v>9324311.799999997</v>
      </c>
      <c r="L55" s="37">
        <f>+H54</f>
        <v>6141394</v>
      </c>
      <c r="M55" s="51">
        <f>+L55*10%</f>
        <v>614139.4</v>
      </c>
      <c r="N55" s="51">
        <f>+I55</f>
        <v>4130617</v>
      </c>
      <c r="O55" s="51">
        <f>I56+I57</f>
        <v>210900</v>
      </c>
      <c r="P55" s="303">
        <f>+L55-M55-N55-O55</f>
        <v>1185737.5999999996</v>
      </c>
    </row>
    <row r="56" spans="2:16">
      <c r="B56" s="41">
        <v>46210</v>
      </c>
      <c r="C56" s="42">
        <v>25</v>
      </c>
      <c r="D56" s="42">
        <v>628</v>
      </c>
      <c r="E56" s="79" t="s">
        <v>223</v>
      </c>
      <c r="F56" s="42" t="s">
        <v>517</v>
      </c>
      <c r="G56" s="45" t="s">
        <v>516</v>
      </c>
      <c r="H56" s="37"/>
      <c r="I56" s="37">
        <v>210900</v>
      </c>
      <c r="J56" s="300">
        <f t="shared" ref="J56:J57" si="5">J55+H56-I56</f>
        <v>9113411.799999997</v>
      </c>
      <c r="L56" s="155"/>
      <c r="M56" s="156"/>
      <c r="N56" s="156"/>
      <c r="O56" s="156"/>
      <c r="P56" s="157"/>
    </row>
    <row r="57" spans="2:16">
      <c r="B57" s="41"/>
      <c r="C57" s="42"/>
      <c r="D57" s="42"/>
      <c r="E57" s="42"/>
      <c r="F57" s="42"/>
      <c r="G57" s="45"/>
      <c r="H57" s="37"/>
      <c r="I57" s="37"/>
      <c r="J57" s="300">
        <f t="shared" si="5"/>
        <v>9113411.799999997</v>
      </c>
      <c r="L57" s="155"/>
      <c r="M57" s="156"/>
      <c r="N57" s="156"/>
      <c r="O57" s="156"/>
      <c r="P57" s="157"/>
    </row>
    <row r="58" spans="2:16">
      <c r="B58" s="320" t="s">
        <v>130</v>
      </c>
      <c r="C58" s="321"/>
      <c r="D58" s="321"/>
      <c r="E58" s="321"/>
      <c r="F58" s="321"/>
      <c r="G58" s="321"/>
      <c r="H58" s="321"/>
      <c r="I58" s="321"/>
      <c r="J58" s="322"/>
    </row>
    <row r="59" spans="2:16">
      <c r="B59" s="41"/>
      <c r="C59" s="42"/>
      <c r="D59" s="42"/>
      <c r="E59" s="42"/>
      <c r="F59" s="42" t="s">
        <v>171</v>
      </c>
      <c r="G59" s="42" t="s">
        <v>171</v>
      </c>
      <c r="H59" s="37">
        <f>+SUBVENCION!Q8+SUBVENCION!R8</f>
        <v>6160631</v>
      </c>
      <c r="I59" s="37"/>
      <c r="J59" s="300">
        <f>J57+H59-I59</f>
        <v>15274042.799999997</v>
      </c>
      <c r="K59" s="44" t="s">
        <v>130</v>
      </c>
      <c r="L59" s="97" t="s">
        <v>5</v>
      </c>
      <c r="M59" s="97" t="s">
        <v>214</v>
      </c>
      <c r="N59" s="97" t="s">
        <v>212</v>
      </c>
      <c r="O59" s="97" t="s">
        <v>213</v>
      </c>
      <c r="P59" s="97" t="s">
        <v>7</v>
      </c>
    </row>
    <row r="60" spans="2:16">
      <c r="B60" s="41"/>
      <c r="C60" s="42"/>
      <c r="D60" s="42"/>
      <c r="E60" s="42"/>
      <c r="F60" s="42" t="s">
        <v>199</v>
      </c>
      <c r="G60" s="42" t="s">
        <v>199</v>
      </c>
      <c r="H60" s="37"/>
      <c r="I60" s="37">
        <v>5248731</v>
      </c>
      <c r="J60" s="300">
        <f>J59+H60-I60</f>
        <v>10025311.799999997</v>
      </c>
      <c r="L60" s="37">
        <f>+H59</f>
        <v>6160631</v>
      </c>
      <c r="M60" s="51">
        <f>+L60*10%</f>
        <v>616063.1</v>
      </c>
      <c r="N60" s="51">
        <f>+I60</f>
        <v>5248731</v>
      </c>
      <c r="O60" s="51">
        <f>SUM(I61:I63)</f>
        <v>634842</v>
      </c>
      <c r="P60" s="303">
        <f>+L60-M60-N60-O60</f>
        <v>-339005.09999999963</v>
      </c>
    </row>
    <row r="61" spans="2:16">
      <c r="B61" s="41">
        <v>46252</v>
      </c>
      <c r="C61" s="42">
        <v>28</v>
      </c>
      <c r="D61" s="42">
        <v>822</v>
      </c>
      <c r="E61" s="42">
        <v>1354</v>
      </c>
      <c r="F61" s="42" t="s">
        <v>250</v>
      </c>
      <c r="G61" s="45" t="s">
        <v>662</v>
      </c>
      <c r="H61" s="37"/>
      <c r="I61" s="37">
        <v>207177</v>
      </c>
      <c r="J61" s="300">
        <f t="shared" ref="J61:J63" si="6">J60+H61-I61</f>
        <v>9818134.799999997</v>
      </c>
    </row>
    <row r="62" spans="2:16">
      <c r="B62" s="41">
        <v>46252</v>
      </c>
      <c r="C62" s="42">
        <v>30</v>
      </c>
      <c r="D62" s="42">
        <v>823</v>
      </c>
      <c r="E62" s="42">
        <v>1355</v>
      </c>
      <c r="F62" s="42" t="s">
        <v>242</v>
      </c>
      <c r="G62" s="45" t="s">
        <v>664</v>
      </c>
      <c r="H62" s="37"/>
      <c r="I62" s="37">
        <v>213666</v>
      </c>
      <c r="J62" s="300">
        <f t="shared" si="6"/>
        <v>9604468.799999997</v>
      </c>
    </row>
    <row r="63" spans="2:16">
      <c r="B63" s="41">
        <v>46258</v>
      </c>
      <c r="C63" s="42">
        <v>34</v>
      </c>
      <c r="D63" s="42">
        <v>856</v>
      </c>
      <c r="E63" s="79" t="s">
        <v>701</v>
      </c>
      <c r="F63" s="42" t="s">
        <v>278</v>
      </c>
      <c r="G63" s="42" t="s">
        <v>676</v>
      </c>
      <c r="H63" s="37"/>
      <c r="I63" s="37">
        <v>213999</v>
      </c>
      <c r="J63" s="300">
        <f t="shared" si="6"/>
        <v>9390469.799999997</v>
      </c>
    </row>
    <row r="64" spans="2:16">
      <c r="B64" s="320" t="s">
        <v>169</v>
      </c>
      <c r="C64" s="321"/>
      <c r="D64" s="321"/>
      <c r="E64" s="321"/>
      <c r="F64" s="321"/>
      <c r="G64" s="321"/>
      <c r="H64" s="321"/>
      <c r="I64" s="321"/>
      <c r="J64" s="322"/>
    </row>
    <row r="65" spans="1:23">
      <c r="B65" s="41"/>
      <c r="C65" s="42"/>
      <c r="D65" s="42"/>
      <c r="E65" s="42"/>
      <c r="F65" s="42" t="s">
        <v>171</v>
      </c>
      <c r="G65" s="42" t="s">
        <v>171</v>
      </c>
      <c r="H65" s="37">
        <f>+SUBVENCION!S8+SUBVENCION!T8</f>
        <v>6178841</v>
      </c>
      <c r="I65" s="37"/>
      <c r="J65" s="300">
        <f>J63+H65-I65</f>
        <v>15569310.799999997</v>
      </c>
      <c r="K65" s="44" t="s">
        <v>131</v>
      </c>
      <c r="L65" s="97" t="s">
        <v>5</v>
      </c>
      <c r="M65" s="97" t="s">
        <v>214</v>
      </c>
      <c r="N65" s="97" t="s">
        <v>212</v>
      </c>
      <c r="O65" s="97" t="s">
        <v>213</v>
      </c>
      <c r="P65" s="97" t="s">
        <v>7</v>
      </c>
    </row>
    <row r="66" spans="1:23">
      <c r="B66" s="41"/>
      <c r="C66" s="42"/>
      <c r="D66" s="42"/>
      <c r="E66" s="42"/>
      <c r="F66" s="42" t="s">
        <v>199</v>
      </c>
      <c r="G66" s="42" t="s">
        <v>199</v>
      </c>
      <c r="H66" s="37"/>
      <c r="I66" s="37">
        <v>5700250</v>
      </c>
      <c r="J66" s="300">
        <f>J65+H66-I66</f>
        <v>9869060.799999997</v>
      </c>
      <c r="L66" s="37">
        <f>+H65</f>
        <v>6178841</v>
      </c>
      <c r="M66" s="51">
        <f>+L66*10%</f>
        <v>617884.1</v>
      </c>
      <c r="N66" s="51">
        <f>+I66</f>
        <v>5700250</v>
      </c>
      <c r="O66" s="51">
        <f>+I67+I68</f>
        <v>214010</v>
      </c>
      <c r="P66" s="303">
        <f>+L66-M66-N66-O66</f>
        <v>-353303.09999999963</v>
      </c>
    </row>
    <row r="67" spans="1:23">
      <c r="A67" s="35"/>
      <c r="B67" s="41">
        <v>46275</v>
      </c>
      <c r="C67" s="42">
        <v>36</v>
      </c>
      <c r="D67" s="42">
        <v>962</v>
      </c>
      <c r="E67" s="42"/>
      <c r="F67" s="42" t="s">
        <v>250</v>
      </c>
      <c r="G67" s="45" t="s">
        <v>741</v>
      </c>
      <c r="H67" s="37"/>
      <c r="I67" s="37">
        <v>214010</v>
      </c>
      <c r="J67" s="300">
        <f t="shared" ref="J67:J68" si="7">J66+H67-I67</f>
        <v>9655050.799999997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</row>
    <row r="68" spans="1:23">
      <c r="A68" s="35"/>
      <c r="B68" s="41"/>
      <c r="C68" s="42"/>
      <c r="D68" s="42"/>
      <c r="E68" s="42"/>
      <c r="F68" s="42"/>
      <c r="G68" s="42"/>
      <c r="H68" s="37"/>
      <c r="I68" s="37"/>
      <c r="J68" s="300">
        <f t="shared" si="7"/>
        <v>9655050.799999997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</row>
    <row r="69" spans="1:23">
      <c r="A69" s="35"/>
      <c r="B69" s="41"/>
      <c r="C69" s="42"/>
      <c r="D69" s="42"/>
      <c r="E69" s="42"/>
      <c r="F69" s="42"/>
      <c r="G69" s="42"/>
      <c r="H69" s="37"/>
      <c r="I69" s="37"/>
      <c r="J69" s="300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 spans="1:23">
      <c r="A70" s="35"/>
      <c r="B70" s="320" t="s">
        <v>132</v>
      </c>
      <c r="C70" s="321"/>
      <c r="D70" s="321"/>
      <c r="E70" s="321"/>
      <c r="F70" s="321"/>
      <c r="G70" s="321"/>
      <c r="H70" s="321"/>
      <c r="I70" s="321"/>
      <c r="J70" s="322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  <row r="71" spans="1:23">
      <c r="A71" s="35"/>
      <c r="B71" s="41"/>
      <c r="C71" s="42"/>
      <c r="D71" s="42"/>
      <c r="E71" s="42"/>
      <c r="F71" s="42" t="s">
        <v>171</v>
      </c>
      <c r="G71" s="42" t="s">
        <v>171</v>
      </c>
      <c r="H71" s="37">
        <f>+SUBVENCION!U8+SUBVENCION!V8</f>
        <v>0</v>
      </c>
      <c r="I71" s="37"/>
      <c r="J71" s="300">
        <f>+J68+H71-I71</f>
        <v>9655050.799999997</v>
      </c>
      <c r="K71" s="35" t="s">
        <v>132</v>
      </c>
      <c r="L71" s="97" t="s">
        <v>5</v>
      </c>
      <c r="M71" s="97" t="s">
        <v>214</v>
      </c>
      <c r="N71" s="97" t="s">
        <v>212</v>
      </c>
      <c r="O71" s="97" t="s">
        <v>213</v>
      </c>
      <c r="P71" s="97" t="s">
        <v>7</v>
      </c>
      <c r="Q71" s="35"/>
      <c r="R71" s="35"/>
      <c r="S71" s="35"/>
      <c r="T71" s="35"/>
      <c r="U71" s="35"/>
      <c r="V71" s="35"/>
      <c r="W71" s="35"/>
    </row>
    <row r="72" spans="1:23">
      <c r="A72" s="35"/>
      <c r="B72" s="41"/>
      <c r="C72" s="42"/>
      <c r="D72" s="42"/>
      <c r="E72" s="42"/>
      <c r="F72" s="42" t="s">
        <v>199</v>
      </c>
      <c r="G72" s="42" t="s">
        <v>199</v>
      </c>
      <c r="H72" s="37"/>
      <c r="I72" s="37"/>
      <c r="J72" s="300">
        <f>+J71+H72-I72</f>
        <v>9655050.799999997</v>
      </c>
      <c r="K72" s="35"/>
      <c r="L72" s="37">
        <f>+H71</f>
        <v>0</v>
      </c>
      <c r="M72" s="51">
        <f>+L72*10%</f>
        <v>0</v>
      </c>
      <c r="N72" s="51">
        <f>+I72</f>
        <v>0</v>
      </c>
      <c r="O72" s="51">
        <f>+I73+I74+I75+I76+I77+I82</f>
        <v>21400</v>
      </c>
      <c r="P72" s="303">
        <f>+L72-M72-N72-O72</f>
        <v>-21400</v>
      </c>
      <c r="Q72" s="35"/>
      <c r="R72" s="35"/>
      <c r="S72" s="35"/>
      <c r="T72" s="35"/>
      <c r="U72" s="35"/>
      <c r="V72" s="35"/>
      <c r="W72" s="35"/>
    </row>
    <row r="73" spans="1:23">
      <c r="A73" s="35"/>
      <c r="B73" s="41">
        <v>46296</v>
      </c>
      <c r="C73" s="42">
        <v>37</v>
      </c>
      <c r="D73" s="42">
        <v>999</v>
      </c>
      <c r="E73" s="42"/>
      <c r="F73" s="42" t="s">
        <v>507</v>
      </c>
      <c r="G73" s="45" t="s">
        <v>507</v>
      </c>
      <c r="H73" s="37"/>
      <c r="I73" s="37">
        <v>21400</v>
      </c>
      <c r="J73" s="300">
        <f t="shared" ref="J73:J82" si="8">+J72+H73-I73</f>
        <v>9633650.799999997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</row>
    <row r="74" spans="1:23">
      <c r="A74" s="35"/>
      <c r="B74" s="41"/>
      <c r="C74" s="42"/>
      <c r="D74" s="42"/>
      <c r="E74" s="42"/>
      <c r="F74" s="42"/>
      <c r="G74" s="45"/>
      <c r="H74" s="37"/>
      <c r="I74" s="37"/>
      <c r="J74" s="300">
        <f t="shared" si="8"/>
        <v>9633650.799999997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</row>
    <row r="75" spans="1:23">
      <c r="A75" s="35"/>
      <c r="B75" s="41"/>
      <c r="C75" s="42"/>
      <c r="D75" s="42"/>
      <c r="E75" s="42"/>
      <c r="F75" s="42"/>
      <c r="G75" s="45"/>
      <c r="H75" s="37"/>
      <c r="I75" s="37"/>
      <c r="J75" s="300">
        <f t="shared" si="8"/>
        <v>9633650.799999997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</row>
    <row r="76" spans="1:23">
      <c r="A76" s="35"/>
      <c r="B76" s="41"/>
      <c r="C76" s="42"/>
      <c r="D76" s="42"/>
      <c r="E76" s="42"/>
      <c r="F76" s="42"/>
      <c r="G76" s="45"/>
      <c r="H76" s="37"/>
      <c r="I76" s="37"/>
      <c r="J76" s="300">
        <f t="shared" si="8"/>
        <v>9633650.799999997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</row>
    <row r="77" spans="1:23">
      <c r="A77" s="35"/>
      <c r="B77" s="41"/>
      <c r="C77" s="42"/>
      <c r="D77" s="42"/>
      <c r="E77" s="42"/>
      <c r="F77" s="42"/>
      <c r="G77" s="45"/>
      <c r="H77" s="37"/>
      <c r="I77" s="37"/>
      <c r="J77" s="300">
        <f t="shared" si="8"/>
        <v>9633650.799999997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</row>
    <row r="78" spans="1:23">
      <c r="A78" s="35"/>
      <c r="B78" s="41"/>
      <c r="C78" s="42"/>
      <c r="D78" s="42"/>
      <c r="E78" s="42"/>
      <c r="F78" s="42"/>
      <c r="G78" s="42"/>
      <c r="H78" s="37"/>
      <c r="I78" s="37"/>
      <c r="J78" s="300">
        <f t="shared" si="8"/>
        <v>9633650.799999997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</row>
    <row r="79" spans="1:23">
      <c r="A79" s="35"/>
      <c r="B79" s="41"/>
      <c r="C79" s="42"/>
      <c r="D79" s="42"/>
      <c r="E79" s="42"/>
      <c r="F79" s="42"/>
      <c r="G79" s="45"/>
      <c r="H79" s="37"/>
      <c r="I79" s="37"/>
      <c r="J79" s="300">
        <f t="shared" si="8"/>
        <v>9633650.799999997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</row>
    <row r="80" spans="1:23">
      <c r="A80" s="35"/>
      <c r="B80" s="41"/>
      <c r="C80" s="42"/>
      <c r="D80" s="42"/>
      <c r="E80" s="42"/>
      <c r="F80" s="42"/>
      <c r="G80" s="45"/>
      <c r="H80" s="37"/>
      <c r="I80" s="37"/>
      <c r="J80" s="300">
        <f t="shared" si="8"/>
        <v>9633650.799999997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</row>
    <row r="81" spans="1:23">
      <c r="A81" s="35"/>
      <c r="B81" s="41"/>
      <c r="C81" s="42"/>
      <c r="D81" s="42"/>
      <c r="E81" s="42"/>
      <c r="F81" s="42"/>
      <c r="G81" s="45"/>
      <c r="H81" s="37"/>
      <c r="I81" s="37"/>
      <c r="J81" s="300">
        <f t="shared" si="8"/>
        <v>9633650.799999997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</row>
    <row r="82" spans="1:23">
      <c r="A82" s="35"/>
      <c r="B82" s="41"/>
      <c r="C82" s="42"/>
      <c r="D82" s="42" t="s">
        <v>217</v>
      </c>
      <c r="E82" s="42"/>
      <c r="F82" s="42"/>
      <c r="G82" s="45"/>
      <c r="H82" s="37"/>
      <c r="I82" s="37"/>
      <c r="J82" s="300">
        <f t="shared" si="8"/>
        <v>9633650.799999997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</row>
    <row r="83" spans="1:23">
      <c r="A83" s="35"/>
      <c r="B83" s="320" t="s">
        <v>133</v>
      </c>
      <c r="C83" s="321"/>
      <c r="D83" s="321"/>
      <c r="E83" s="321"/>
      <c r="F83" s="321"/>
      <c r="G83" s="321"/>
      <c r="H83" s="321"/>
      <c r="I83" s="321"/>
      <c r="J83" s="322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</row>
    <row r="84" spans="1:23">
      <c r="A84" s="35"/>
      <c r="B84" s="41"/>
      <c r="C84" s="42"/>
      <c r="D84" s="42"/>
      <c r="E84" s="42"/>
      <c r="F84" s="42" t="s">
        <v>171</v>
      </c>
      <c r="G84" s="42" t="s">
        <v>171</v>
      </c>
      <c r="H84" s="37">
        <f>+SUBVENCION!W8+SUBVENCION!X8</f>
        <v>0</v>
      </c>
      <c r="I84" s="37"/>
      <c r="J84" s="300">
        <f>+J82+H84-I84</f>
        <v>9633650.799999997</v>
      </c>
      <c r="K84" s="35" t="s">
        <v>133</v>
      </c>
      <c r="L84" s="97" t="s">
        <v>5</v>
      </c>
      <c r="M84" s="97" t="s">
        <v>214</v>
      </c>
      <c r="N84" s="97" t="s">
        <v>212</v>
      </c>
      <c r="O84" s="97" t="s">
        <v>213</v>
      </c>
      <c r="P84" s="97" t="s">
        <v>7</v>
      </c>
      <c r="Q84" s="35"/>
      <c r="R84" s="35"/>
      <c r="S84" s="35"/>
      <c r="T84" s="35"/>
      <c r="U84" s="35"/>
      <c r="V84" s="35"/>
      <c r="W84" s="35"/>
    </row>
    <row r="85" spans="1:23">
      <c r="A85" s="35"/>
      <c r="B85" s="41"/>
      <c r="C85" s="42"/>
      <c r="D85" s="42"/>
      <c r="E85" s="42"/>
      <c r="F85" s="42" t="s">
        <v>199</v>
      </c>
      <c r="G85" s="42" t="s">
        <v>199</v>
      </c>
      <c r="H85" s="37"/>
      <c r="I85" s="37"/>
      <c r="J85" s="300">
        <f>+J84+H85-I85</f>
        <v>9633650.799999997</v>
      </c>
      <c r="K85" s="35"/>
      <c r="L85" s="37">
        <f>+H84</f>
        <v>0</v>
      </c>
      <c r="M85" s="51">
        <f>+L85*10%</f>
        <v>0</v>
      </c>
      <c r="N85" s="51">
        <f>+I85</f>
        <v>0</v>
      </c>
      <c r="O85" s="51">
        <f>I86+I87+I88+I89++I90+I91</f>
        <v>0</v>
      </c>
      <c r="P85" s="303">
        <f>+L85-M85-N85-O85</f>
        <v>0</v>
      </c>
      <c r="Q85" s="35"/>
      <c r="R85" s="35"/>
      <c r="S85" s="35"/>
      <c r="T85" s="35"/>
      <c r="U85" s="35"/>
      <c r="V85" s="35"/>
      <c r="W85" s="35"/>
    </row>
    <row r="86" spans="1:23">
      <c r="A86" s="35"/>
      <c r="B86" s="41"/>
      <c r="C86" s="42"/>
      <c r="D86" s="42"/>
      <c r="E86" s="42"/>
      <c r="F86" s="42"/>
      <c r="G86" s="45"/>
      <c r="H86" s="37"/>
      <c r="I86" s="37"/>
      <c r="J86" s="300">
        <f t="shared" ref="J86:J91" si="9">+J85+H86-I86</f>
        <v>9633650.799999997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</row>
    <row r="87" spans="1:23">
      <c r="A87" s="35"/>
      <c r="B87" s="41"/>
      <c r="C87" s="42"/>
      <c r="D87" s="42"/>
      <c r="E87" s="42"/>
      <c r="F87" s="42"/>
      <c r="G87" s="45"/>
      <c r="H87" s="37"/>
      <c r="I87" s="37"/>
      <c r="J87" s="300">
        <f t="shared" si="9"/>
        <v>9633650.799999997</v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</row>
    <row r="88" spans="1:23">
      <c r="A88" s="35"/>
      <c r="B88" s="41"/>
      <c r="C88" s="42"/>
      <c r="D88" s="42"/>
      <c r="E88" s="42"/>
      <c r="F88" s="42"/>
      <c r="G88" s="45"/>
      <c r="H88" s="37"/>
      <c r="I88" s="37"/>
      <c r="J88" s="300">
        <f t="shared" si="9"/>
        <v>9633650.799999997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</row>
    <row r="89" spans="1:23">
      <c r="A89" s="35"/>
      <c r="B89" s="41"/>
      <c r="C89" s="42"/>
      <c r="D89" s="42"/>
      <c r="E89" s="42"/>
      <c r="F89" s="42"/>
      <c r="G89" s="45"/>
      <c r="H89" s="37"/>
      <c r="I89" s="37"/>
      <c r="J89" s="300">
        <f t="shared" si="9"/>
        <v>9633650.799999997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</row>
    <row r="90" spans="1:23">
      <c r="A90" s="35"/>
      <c r="B90" s="41"/>
      <c r="C90" s="42"/>
      <c r="D90" s="42"/>
      <c r="E90" s="42"/>
      <c r="F90" s="42"/>
      <c r="G90" s="45"/>
      <c r="H90" s="37"/>
      <c r="I90" s="37"/>
      <c r="J90" s="300">
        <f t="shared" si="9"/>
        <v>9633650.799999997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</row>
    <row r="91" spans="1:23">
      <c r="A91" s="35"/>
      <c r="B91" s="41"/>
      <c r="C91" s="42"/>
      <c r="D91" s="42"/>
      <c r="E91" s="42"/>
      <c r="F91" s="45"/>
      <c r="G91" s="42"/>
      <c r="H91" s="37"/>
      <c r="I91" s="37"/>
      <c r="J91" s="300">
        <f t="shared" si="9"/>
        <v>9633650.799999997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</row>
    <row r="92" spans="1:23">
      <c r="A92" s="35"/>
      <c r="B92" s="320" t="s">
        <v>134</v>
      </c>
      <c r="C92" s="321"/>
      <c r="D92" s="321"/>
      <c r="E92" s="321"/>
      <c r="F92" s="321"/>
      <c r="G92" s="321"/>
      <c r="H92" s="321"/>
      <c r="I92" s="321"/>
      <c r="J92" s="322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</row>
    <row r="93" spans="1:23">
      <c r="A93" s="35"/>
      <c r="B93" s="41"/>
      <c r="C93" s="42"/>
      <c r="D93" s="42"/>
      <c r="E93" s="42"/>
      <c r="F93" s="42" t="s">
        <v>171</v>
      </c>
      <c r="G93" s="42" t="s">
        <v>171</v>
      </c>
      <c r="H93" s="37">
        <f>+SUBVENCION!Y8+SUBVENCION!Z8</f>
        <v>0</v>
      </c>
      <c r="I93" s="37"/>
      <c r="J93" s="300">
        <f>+J91+H93-I93</f>
        <v>9633650.799999997</v>
      </c>
      <c r="K93" s="35" t="s">
        <v>134</v>
      </c>
      <c r="L93" s="97" t="s">
        <v>5</v>
      </c>
      <c r="M93" s="97" t="s">
        <v>214</v>
      </c>
      <c r="N93" s="97" t="s">
        <v>212</v>
      </c>
      <c r="O93" s="97" t="s">
        <v>213</v>
      </c>
      <c r="P93" s="97" t="s">
        <v>7</v>
      </c>
      <c r="Q93" s="35"/>
      <c r="R93" s="35"/>
      <c r="S93" s="35"/>
      <c r="T93" s="35"/>
      <c r="U93" s="35"/>
      <c r="V93" s="35"/>
      <c r="W93" s="35"/>
    </row>
    <row r="94" spans="1:23">
      <c r="A94" s="35"/>
      <c r="B94" s="41"/>
      <c r="C94" s="42"/>
      <c r="D94" s="42"/>
      <c r="E94" s="42"/>
      <c r="F94" s="42" t="s">
        <v>199</v>
      </c>
      <c r="G94" s="42" t="s">
        <v>199</v>
      </c>
      <c r="H94" s="37"/>
      <c r="I94" s="37"/>
      <c r="J94" s="300">
        <f>+J93+H94-I94</f>
        <v>9633650.799999997</v>
      </c>
      <c r="K94" s="35"/>
      <c r="L94" s="37">
        <f>+H93</f>
        <v>0</v>
      </c>
      <c r="M94" s="51">
        <f>+L94*10%</f>
        <v>0</v>
      </c>
      <c r="N94" s="51">
        <f>+I94</f>
        <v>0</v>
      </c>
      <c r="O94" s="51">
        <f>+I95+I96+I97+I98</f>
        <v>0</v>
      </c>
      <c r="P94" s="303">
        <f>+L94-M94-N94-O94</f>
        <v>0</v>
      </c>
      <c r="Q94" s="35"/>
      <c r="R94" s="35"/>
      <c r="S94" s="35"/>
      <c r="T94" s="35"/>
      <c r="U94" s="35"/>
      <c r="V94" s="35"/>
      <c r="W94" s="35"/>
    </row>
    <row r="95" spans="1:23">
      <c r="A95" s="35"/>
      <c r="B95" s="41"/>
      <c r="C95" s="42"/>
      <c r="D95" s="42"/>
      <c r="E95" s="42"/>
      <c r="F95" s="42"/>
      <c r="G95" s="42"/>
      <c r="H95" s="37"/>
      <c r="I95" s="37"/>
      <c r="J95" s="300">
        <f t="shared" ref="J95:J99" si="10">+J94+H95-I95</f>
        <v>9633650.799999997</v>
      </c>
      <c r="Q95" s="35"/>
      <c r="R95" s="35"/>
      <c r="S95" s="35"/>
      <c r="T95" s="35"/>
      <c r="U95" s="35"/>
      <c r="V95" s="35"/>
      <c r="W95" s="35"/>
    </row>
    <row r="96" spans="1:23">
      <c r="A96" s="35"/>
      <c r="B96" s="41"/>
      <c r="C96" s="42"/>
      <c r="D96" s="42"/>
      <c r="E96" s="42"/>
      <c r="F96" s="42"/>
      <c r="G96" s="42"/>
      <c r="H96" s="37"/>
      <c r="I96" s="37"/>
      <c r="J96" s="300">
        <f t="shared" si="10"/>
        <v>9633650.799999997</v>
      </c>
      <c r="K96" s="35"/>
      <c r="Q96" s="35"/>
      <c r="R96" s="35"/>
      <c r="S96" s="35"/>
      <c r="T96" s="35"/>
      <c r="U96" s="35"/>
      <c r="V96" s="35"/>
      <c r="W96" s="35"/>
    </row>
    <row r="97" spans="1:23">
      <c r="A97" s="35"/>
      <c r="B97" s="41"/>
      <c r="C97" s="42"/>
      <c r="D97" s="42"/>
      <c r="E97" s="42"/>
      <c r="F97" s="42"/>
      <c r="G97" s="45"/>
      <c r="H97" s="37"/>
      <c r="I97" s="37"/>
      <c r="J97" s="300">
        <f t="shared" si="10"/>
        <v>9633650.799999997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</row>
    <row r="98" spans="1:23">
      <c r="A98" s="35"/>
      <c r="B98" s="41"/>
      <c r="C98" s="42"/>
      <c r="D98" s="42"/>
      <c r="E98" s="42"/>
      <c r="F98" s="42"/>
      <c r="G98" s="45"/>
      <c r="H98" s="37"/>
      <c r="I98" s="37"/>
      <c r="J98" s="300">
        <f t="shared" si="10"/>
        <v>9633650.799999997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</row>
    <row r="99" spans="1:23">
      <c r="A99" s="48"/>
      <c r="B99" s="41"/>
      <c r="C99" s="42"/>
      <c r="D99" s="42"/>
      <c r="E99" s="42"/>
      <c r="F99" s="42" t="s">
        <v>201</v>
      </c>
      <c r="G99" s="42" t="s">
        <v>201</v>
      </c>
      <c r="H99" s="37">
        <f>(H11+H16+H19+H30+H38+H47+H54+H59+H65+H71+H84+H93)*-10%</f>
        <v>-5696712.1000000006</v>
      </c>
      <c r="I99" s="37"/>
      <c r="J99" s="300">
        <f t="shared" si="10"/>
        <v>3936938.6999999965</v>
      </c>
      <c r="K99" s="48" t="s">
        <v>215</v>
      </c>
      <c r="L99" s="97" t="s">
        <v>5</v>
      </c>
      <c r="M99" s="97" t="s">
        <v>214</v>
      </c>
      <c r="N99" s="97" t="s">
        <v>212</v>
      </c>
      <c r="O99" s="97" t="s">
        <v>213</v>
      </c>
      <c r="P99" s="97" t="s">
        <v>7</v>
      </c>
      <c r="Q99" s="48"/>
      <c r="R99" s="48"/>
      <c r="S99" s="48"/>
      <c r="T99" s="48"/>
      <c r="U99" s="48"/>
      <c r="V99" s="48"/>
      <c r="W99" s="48"/>
    </row>
    <row r="100" spans="1:23">
      <c r="B100" s="46" t="s">
        <v>8</v>
      </c>
      <c r="C100" s="97" t="s">
        <v>8</v>
      </c>
      <c r="D100" s="97"/>
      <c r="E100" s="97"/>
      <c r="F100" s="97"/>
      <c r="G100" s="97" t="s">
        <v>9</v>
      </c>
      <c r="H100" s="38">
        <f>SUM(H9:H99)</f>
        <v>51288387.699999996</v>
      </c>
      <c r="I100" s="38">
        <f>SUM(I11:I99)</f>
        <v>47351449</v>
      </c>
      <c r="J100" s="309">
        <f>+H100-I100</f>
        <v>3936938.6999999955</v>
      </c>
      <c r="L100" s="37">
        <f>+H11+H16+H19+H30+H38+H47+H54+H59+H65+H71+H84+H93</f>
        <v>56967121</v>
      </c>
      <c r="M100" s="51">
        <f>L100*10%</f>
        <v>5696712.1000000006</v>
      </c>
      <c r="N100" s="51">
        <f>+I12+I17+I20+I31+I39+I48+I55+I60+I66+I72+I85+I94</f>
        <v>42862884</v>
      </c>
      <c r="O100" s="51">
        <f>+I21+I22+I23+I24+I25+I26+I28+I32+I33+I34+I40+I41+I42+I43+I49+I50+I56+I61+I62+I63+I67</f>
        <v>4467165</v>
      </c>
      <c r="P100" s="153">
        <f>+L100-M100-N100-O100</f>
        <v>3940359.8999999985</v>
      </c>
    </row>
    <row r="101" spans="1:23">
      <c r="J101" s="102"/>
    </row>
    <row r="102" spans="1:23">
      <c r="H102" s="50"/>
      <c r="J102" s="102"/>
      <c r="L102" s="102">
        <f t="shared" ref="L102:M102" si="11">SUM(L12:L94)</f>
        <v>56967121</v>
      </c>
      <c r="M102" s="102">
        <f t="shared" si="11"/>
        <v>5696712.0999999996</v>
      </c>
      <c r="N102" s="102">
        <f>SUM(N12:N94)</f>
        <v>42862884</v>
      </c>
      <c r="O102" s="102">
        <f>SUM(O12:O94)</f>
        <v>4488565</v>
      </c>
      <c r="P102" s="154">
        <f>+P13+P17+P20+P31+P39+P48+P55+P60+P66+P72+P85+P94</f>
        <v>3918959.9000000004</v>
      </c>
    </row>
    <row r="103" spans="1:23">
      <c r="J103" s="102"/>
    </row>
    <row r="104" spans="1:23">
      <c r="G104" s="44" t="s">
        <v>210</v>
      </c>
      <c r="H104" s="97" t="s">
        <v>5</v>
      </c>
      <c r="I104" s="97" t="s">
        <v>6</v>
      </c>
      <c r="J104" s="97" t="s">
        <v>198</v>
      </c>
    </row>
    <row r="105" spans="1:23">
      <c r="H105" s="37">
        <f>+H100</f>
        <v>51288387.699999996</v>
      </c>
      <c r="I105" s="37">
        <f>+I100</f>
        <v>47351449</v>
      </c>
      <c r="J105" s="143">
        <f>I105*100/H105</f>
        <v>92.32391799284423</v>
      </c>
      <c r="L105" s="104"/>
      <c r="M105" s="181"/>
    </row>
  </sheetData>
  <autoFilter ref="A8:W98" xr:uid="{00000000-0009-0000-0000-000000000000}"/>
  <mergeCells count="17">
    <mergeCell ref="B2:J2"/>
    <mergeCell ref="B3:J3"/>
    <mergeCell ref="B10:J10"/>
    <mergeCell ref="B15:J15"/>
    <mergeCell ref="B18:J18"/>
    <mergeCell ref="B4:J4"/>
    <mergeCell ref="B7:J7"/>
    <mergeCell ref="B5:J5"/>
    <mergeCell ref="B29:J29"/>
    <mergeCell ref="B92:J92"/>
    <mergeCell ref="B83:J83"/>
    <mergeCell ref="B70:J70"/>
    <mergeCell ref="B64:J64"/>
    <mergeCell ref="B58:J58"/>
    <mergeCell ref="B53:J53"/>
    <mergeCell ref="B46:J46"/>
    <mergeCell ref="B37:J37"/>
  </mergeCells>
  <conditionalFormatting sqref="H1:J36 H38:J45 H47:J52 H54:J57 H59:J63 H65:J69 H71:J82 H84:J91 H93:J103 H106:J1048576">
    <cfRule type="cellIs" dxfId="191" priority="7" operator="lessThan">
      <formula>0</formula>
    </cfRule>
  </conditionalFormatting>
  <pageMargins left="0.9055118110236221" right="0.70866141732283472" top="0.74803149606299213" bottom="0.74803149606299213" header="0.31496062992125984" footer="0.31496062992125984"/>
  <pageSetup paperSize="14" scale="28" orientation="portrait" r:id="rId1"/>
  <ignoredErrors>
    <ignoredError sqref="O13 O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1"/>
  <sheetViews>
    <sheetView showGridLines="0" topLeftCell="B53" zoomScaleNormal="100" workbookViewId="0">
      <selection activeCell="L95" sqref="L95"/>
    </sheetView>
  </sheetViews>
  <sheetFormatPr baseColWidth="10" defaultRowHeight="11.25"/>
  <cols>
    <col min="1" max="3" width="11.42578125" style="44"/>
    <col min="4" max="4" width="12.140625" style="44" bestFit="1" customWidth="1"/>
    <col min="5" max="5" width="11.42578125" style="44"/>
    <col min="6" max="6" width="22.42578125" style="44" bestFit="1" customWidth="1"/>
    <col min="7" max="7" width="26.7109375" style="44" customWidth="1"/>
    <col min="8" max="11" width="11.42578125" style="44"/>
    <col min="12" max="12" width="19.140625" style="44" customWidth="1"/>
    <col min="13" max="13" width="21.140625" style="44" customWidth="1"/>
    <col min="14" max="16384" width="11.42578125" style="44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6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</row>
    <row r="3" spans="1:16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</row>
    <row r="4" spans="1:16">
      <c r="A4" s="35"/>
      <c r="B4" s="327" t="s">
        <v>126</v>
      </c>
      <c r="C4" s="328"/>
      <c r="D4" s="328"/>
      <c r="E4" s="328"/>
      <c r="F4" s="328"/>
      <c r="G4" s="328"/>
      <c r="H4" s="328"/>
      <c r="I4" s="328"/>
      <c r="J4" s="329"/>
    </row>
    <row r="5" spans="1:16">
      <c r="A5" s="35"/>
      <c r="B5" s="327" t="s">
        <v>75</v>
      </c>
      <c r="C5" s="328"/>
      <c r="D5" s="328"/>
      <c r="E5" s="328"/>
      <c r="F5" s="328"/>
      <c r="G5" s="328"/>
      <c r="H5" s="328"/>
      <c r="I5" s="328"/>
      <c r="J5" s="329"/>
    </row>
    <row r="6" spans="1:16">
      <c r="A6" s="35"/>
      <c r="B6" s="94" t="s">
        <v>125</v>
      </c>
      <c r="C6" s="95"/>
      <c r="D6" s="95"/>
      <c r="E6" s="95"/>
      <c r="F6" s="95"/>
      <c r="G6" s="95"/>
      <c r="H6" s="95"/>
      <c r="I6" s="95"/>
      <c r="J6" s="96"/>
    </row>
    <row r="7" spans="1:16">
      <c r="A7" s="35"/>
      <c r="B7" s="94" t="s">
        <v>71</v>
      </c>
      <c r="C7" s="95"/>
      <c r="D7" s="95"/>
      <c r="E7" s="95"/>
      <c r="F7" s="95"/>
      <c r="G7" s="95"/>
      <c r="H7" s="95"/>
      <c r="I7" s="95"/>
      <c r="J7" s="96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>
      <c r="A9" s="35"/>
      <c r="B9" s="93"/>
      <c r="C9" s="55"/>
      <c r="D9" s="55"/>
      <c r="E9" s="55"/>
      <c r="F9" s="55"/>
      <c r="G9" s="45" t="s">
        <v>236</v>
      </c>
      <c r="H9" s="36">
        <f>'[1]G-389'!$J$89</f>
        <v>-60562.800000000745</v>
      </c>
      <c r="I9" s="36"/>
      <c r="J9" s="307">
        <f>+H9-I9</f>
        <v>-60562.800000000745</v>
      </c>
    </row>
    <row r="10" spans="1:16">
      <c r="A10" s="35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</row>
    <row r="11" spans="1:16">
      <c r="A11" s="35"/>
      <c r="B11" s="41"/>
      <c r="C11" s="42"/>
      <c r="D11" s="42"/>
      <c r="E11" s="42"/>
      <c r="F11" s="42" t="s">
        <v>171</v>
      </c>
      <c r="G11" s="42" t="s">
        <v>171</v>
      </c>
      <c r="H11" s="37">
        <f>SUBVENCION!C15+SUBVENCION!D15</f>
        <v>951328</v>
      </c>
      <c r="I11" s="37"/>
      <c r="J11" s="300">
        <f>H11-I11</f>
        <v>951328</v>
      </c>
      <c r="K11" s="44" t="s">
        <v>66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</row>
    <row r="12" spans="1:16">
      <c r="A12" s="35"/>
      <c r="B12" s="41"/>
      <c r="C12" s="42"/>
      <c r="D12" s="42"/>
      <c r="E12" s="42"/>
      <c r="F12" s="42" t="s">
        <v>199</v>
      </c>
      <c r="G12" s="42" t="s">
        <v>199</v>
      </c>
      <c r="H12" s="37"/>
      <c r="I12" s="37">
        <v>724618</v>
      </c>
      <c r="J12" s="300">
        <f>+J11+H12-I12</f>
        <v>226710</v>
      </c>
      <c r="L12" s="37">
        <f>+H11</f>
        <v>951328</v>
      </c>
      <c r="M12" s="51">
        <f>+L12*10%</f>
        <v>95132.800000000003</v>
      </c>
      <c r="N12" s="51">
        <f>+I12</f>
        <v>724618</v>
      </c>
      <c r="O12" s="51">
        <v>0</v>
      </c>
      <c r="P12" s="303">
        <f>+L12-M12-N12-O12</f>
        <v>131577.19999999995</v>
      </c>
    </row>
    <row r="13" spans="1:16">
      <c r="A13" s="35"/>
      <c r="B13" s="330" t="s">
        <v>67</v>
      </c>
      <c r="C13" s="331"/>
      <c r="D13" s="331"/>
      <c r="E13" s="331"/>
      <c r="F13" s="331"/>
      <c r="G13" s="331"/>
      <c r="H13" s="331"/>
      <c r="I13" s="331"/>
      <c r="J13" s="332"/>
    </row>
    <row r="14" spans="1:16">
      <c r="A14" s="35"/>
      <c r="B14" s="41"/>
      <c r="C14" s="42"/>
      <c r="D14" s="42"/>
      <c r="E14" s="42"/>
      <c r="F14" s="42" t="s">
        <v>171</v>
      </c>
      <c r="G14" s="42" t="s">
        <v>171</v>
      </c>
      <c r="H14" s="37">
        <f>SUBVENCION!E15+SUBVENCION!F15</f>
        <v>1008141</v>
      </c>
      <c r="I14" s="37"/>
      <c r="J14" s="300">
        <f>+J12+H14-I14</f>
        <v>1234851</v>
      </c>
      <c r="K14" s="44" t="s">
        <v>67</v>
      </c>
      <c r="L14" s="97" t="s">
        <v>5</v>
      </c>
      <c r="M14" s="97" t="s">
        <v>214</v>
      </c>
      <c r="N14" s="97" t="s">
        <v>212</v>
      </c>
      <c r="O14" s="97" t="s">
        <v>213</v>
      </c>
      <c r="P14" s="97" t="s">
        <v>7</v>
      </c>
    </row>
    <row r="15" spans="1:16">
      <c r="A15" s="35"/>
      <c r="B15" s="41"/>
      <c r="C15" s="42"/>
      <c r="D15" s="42"/>
      <c r="E15" s="42"/>
      <c r="F15" s="42" t="s">
        <v>199</v>
      </c>
      <c r="G15" s="42" t="s">
        <v>199</v>
      </c>
      <c r="H15" s="37"/>
      <c r="I15" s="12">
        <v>813283</v>
      </c>
      <c r="J15" s="300">
        <f>+J14+H15-I15</f>
        <v>421568</v>
      </c>
      <c r="L15" s="37">
        <f>+H14</f>
        <v>1008141</v>
      </c>
      <c r="M15" s="51">
        <f>+L15*10%</f>
        <v>100814.1</v>
      </c>
      <c r="N15" s="51">
        <f>+I15</f>
        <v>813283</v>
      </c>
      <c r="O15" s="51">
        <v>0</v>
      </c>
      <c r="P15" s="303">
        <f>+L15-M15-N15-O15</f>
        <v>94043.900000000023</v>
      </c>
    </row>
    <row r="16" spans="1:16">
      <c r="A16" s="35"/>
      <c r="B16" s="330" t="s">
        <v>68</v>
      </c>
      <c r="C16" s="331"/>
      <c r="D16" s="331"/>
      <c r="E16" s="331"/>
      <c r="F16" s="331"/>
      <c r="G16" s="331"/>
      <c r="H16" s="331"/>
      <c r="I16" s="331"/>
      <c r="J16" s="332"/>
      <c r="M16" s="181"/>
    </row>
    <row r="17" spans="1:16">
      <c r="A17" s="35"/>
      <c r="B17" s="41"/>
      <c r="C17" s="42"/>
      <c r="D17" s="42"/>
      <c r="E17" s="42"/>
      <c r="F17" s="42" t="s">
        <v>171</v>
      </c>
      <c r="G17" s="42" t="s">
        <v>171</v>
      </c>
      <c r="H17" s="37">
        <f>SUBVENCION!G15+SUBVENCION!H15</f>
        <v>970357</v>
      </c>
      <c r="I17" s="37"/>
      <c r="J17" s="300">
        <f>+J15+H17-I17</f>
        <v>1391925</v>
      </c>
      <c r="K17" s="44" t="s">
        <v>68</v>
      </c>
      <c r="L17" s="97" t="s">
        <v>5</v>
      </c>
      <c r="M17" s="97" t="s">
        <v>214</v>
      </c>
      <c r="N17" s="97" t="s">
        <v>212</v>
      </c>
      <c r="O17" s="97" t="s">
        <v>213</v>
      </c>
      <c r="P17" s="97" t="s">
        <v>7</v>
      </c>
    </row>
    <row r="18" spans="1:16">
      <c r="A18" s="35"/>
      <c r="B18" s="41"/>
      <c r="C18" s="42"/>
      <c r="D18" s="42"/>
      <c r="E18" s="42"/>
      <c r="F18" s="42" t="s">
        <v>199</v>
      </c>
      <c r="G18" s="42" t="s">
        <v>199</v>
      </c>
      <c r="H18" s="37"/>
      <c r="I18" s="67">
        <v>773497</v>
      </c>
      <c r="J18" s="300">
        <f>+J17+H18-I18</f>
        <v>618428</v>
      </c>
      <c r="L18" s="37">
        <f>+H17</f>
        <v>970357</v>
      </c>
      <c r="M18" s="51">
        <f>+L18*10%</f>
        <v>97035.700000000012</v>
      </c>
      <c r="N18" s="51">
        <f>+I18</f>
        <v>773497</v>
      </c>
      <c r="O18" s="51">
        <f>+I19+I20+I21+I22</f>
        <v>396199</v>
      </c>
      <c r="P18" s="303">
        <f>+L18-M18-N18-O18</f>
        <v>-296374.69999999995</v>
      </c>
    </row>
    <row r="19" spans="1:16">
      <c r="A19" s="35"/>
      <c r="B19" s="41">
        <v>46090</v>
      </c>
      <c r="C19" s="42">
        <v>1</v>
      </c>
      <c r="D19" s="42">
        <v>90</v>
      </c>
      <c r="E19" s="42">
        <v>421</v>
      </c>
      <c r="F19" s="42" t="s">
        <v>303</v>
      </c>
      <c r="G19" s="42" t="s">
        <v>271</v>
      </c>
      <c r="H19" s="37"/>
      <c r="I19" s="37">
        <v>206600</v>
      </c>
      <c r="J19" s="300">
        <f t="shared" ref="J19:J22" si="0">+J18+H19-I19</f>
        <v>411828</v>
      </c>
    </row>
    <row r="20" spans="1:16">
      <c r="A20" s="35"/>
      <c r="B20" s="41">
        <v>45727</v>
      </c>
      <c r="C20" s="42">
        <v>3</v>
      </c>
      <c r="D20" s="42">
        <v>99</v>
      </c>
      <c r="E20" s="42">
        <v>383</v>
      </c>
      <c r="F20" s="42" t="s">
        <v>267</v>
      </c>
      <c r="G20" s="42" t="s">
        <v>240</v>
      </c>
      <c r="H20" s="37"/>
      <c r="I20" s="37">
        <v>189599</v>
      </c>
      <c r="J20" s="300">
        <f t="shared" si="0"/>
        <v>222229</v>
      </c>
    </row>
    <row r="21" spans="1:16">
      <c r="A21" s="35"/>
      <c r="B21" s="41"/>
      <c r="C21" s="42"/>
      <c r="D21" s="42"/>
      <c r="E21" s="42"/>
      <c r="F21" s="42"/>
      <c r="G21" s="42"/>
      <c r="H21" s="37"/>
      <c r="I21" s="37"/>
      <c r="J21" s="300">
        <f t="shared" si="0"/>
        <v>222229</v>
      </c>
    </row>
    <row r="22" spans="1:16">
      <c r="A22" s="35"/>
      <c r="B22" s="41"/>
      <c r="C22" s="42"/>
      <c r="D22" s="42"/>
      <c r="E22" s="42"/>
      <c r="F22" s="42"/>
      <c r="G22" s="42"/>
      <c r="H22" s="37"/>
      <c r="I22" s="37"/>
      <c r="J22" s="300">
        <f t="shared" si="0"/>
        <v>222229</v>
      </c>
    </row>
    <row r="23" spans="1:16">
      <c r="A23" s="35"/>
      <c r="B23" s="330" t="s">
        <v>69</v>
      </c>
      <c r="C23" s="331"/>
      <c r="D23" s="331"/>
      <c r="E23" s="331"/>
      <c r="F23" s="331"/>
      <c r="G23" s="331"/>
      <c r="H23" s="331"/>
      <c r="I23" s="331"/>
      <c r="J23" s="332"/>
    </row>
    <row r="24" spans="1:16">
      <c r="A24" s="35"/>
      <c r="B24" s="41"/>
      <c r="C24" s="42"/>
      <c r="D24" s="42"/>
      <c r="E24" s="42"/>
      <c r="F24" s="42" t="s">
        <v>171</v>
      </c>
      <c r="G24" s="42" t="s">
        <v>171</v>
      </c>
      <c r="H24" s="37">
        <f>SUBVENCION!I15+SUBVENCION!J15</f>
        <v>996498</v>
      </c>
      <c r="I24" s="37"/>
      <c r="J24" s="300">
        <f>+J22+H24-I24</f>
        <v>1218727</v>
      </c>
      <c r="K24" s="44" t="s">
        <v>69</v>
      </c>
      <c r="L24" s="97" t="s">
        <v>5</v>
      </c>
      <c r="M24" s="97" t="s">
        <v>214</v>
      </c>
      <c r="N24" s="97" t="s">
        <v>212</v>
      </c>
      <c r="O24" s="97" t="s">
        <v>213</v>
      </c>
      <c r="P24" s="97" t="s">
        <v>7</v>
      </c>
    </row>
    <row r="25" spans="1:16">
      <c r="A25" s="35"/>
      <c r="B25" s="41"/>
      <c r="C25" s="42"/>
      <c r="D25" s="42"/>
      <c r="E25" s="42"/>
      <c r="F25" s="42" t="s">
        <v>199</v>
      </c>
      <c r="G25" s="42" t="s">
        <v>199</v>
      </c>
      <c r="H25" s="37"/>
      <c r="I25" s="37">
        <v>718759</v>
      </c>
      <c r="J25" s="300">
        <f>+J24+H25-I25</f>
        <v>499968</v>
      </c>
      <c r="L25" s="37">
        <f>+H24</f>
        <v>996498</v>
      </c>
      <c r="M25" s="51">
        <f>+L25*10%</f>
        <v>99649.8</v>
      </c>
      <c r="N25" s="51">
        <f>+I25</f>
        <v>718759</v>
      </c>
      <c r="O25" s="51">
        <f>I26+I27+I28+I29+I30</f>
        <v>0</v>
      </c>
      <c r="P25" s="303">
        <f>+L25-M25-N25-O25</f>
        <v>178089.19999999995</v>
      </c>
    </row>
    <row r="26" spans="1:16">
      <c r="A26" s="35"/>
      <c r="B26" s="41"/>
      <c r="C26" s="42"/>
      <c r="D26" s="42"/>
      <c r="E26" s="42"/>
      <c r="F26" s="42"/>
      <c r="G26" s="42"/>
      <c r="H26" s="37"/>
      <c r="I26" s="37"/>
      <c r="J26" s="300">
        <f t="shared" ref="J26:J30" si="1">+J25+H26-I26</f>
        <v>499968</v>
      </c>
      <c r="L26" s="155"/>
      <c r="M26" s="156"/>
      <c r="N26" s="156"/>
      <c r="O26" s="156"/>
      <c r="P26" s="157"/>
    </row>
    <row r="27" spans="1:16">
      <c r="A27" s="35"/>
      <c r="B27" s="41"/>
      <c r="C27" s="42"/>
      <c r="D27" s="42"/>
      <c r="E27" s="42"/>
      <c r="F27" s="42"/>
      <c r="G27" s="42"/>
      <c r="H27" s="37"/>
      <c r="I27" s="37"/>
      <c r="J27" s="300">
        <f t="shared" si="1"/>
        <v>499968</v>
      </c>
      <c r="L27" s="155"/>
      <c r="M27" s="156"/>
      <c r="N27" s="156"/>
      <c r="O27" s="156"/>
      <c r="P27" s="157"/>
    </row>
    <row r="28" spans="1:16">
      <c r="A28" s="35"/>
      <c r="B28" s="41"/>
      <c r="C28" s="42"/>
      <c r="D28" s="42"/>
      <c r="E28" s="42"/>
      <c r="F28" s="42"/>
      <c r="G28" s="42"/>
      <c r="H28" s="37"/>
      <c r="I28" s="37"/>
      <c r="J28" s="300">
        <f t="shared" si="1"/>
        <v>499968</v>
      </c>
      <c r="L28" s="155"/>
      <c r="M28" s="156"/>
      <c r="N28" s="156"/>
      <c r="O28" s="156"/>
      <c r="P28" s="157"/>
    </row>
    <row r="29" spans="1:16">
      <c r="A29" s="35"/>
      <c r="B29" s="41"/>
      <c r="C29" s="42"/>
      <c r="D29" s="42"/>
      <c r="E29" s="42"/>
      <c r="F29" s="42"/>
      <c r="G29" s="42"/>
      <c r="H29" s="37"/>
      <c r="I29" s="37"/>
      <c r="J29" s="300">
        <f t="shared" si="1"/>
        <v>499968</v>
      </c>
      <c r="L29" s="155"/>
      <c r="M29" s="156"/>
      <c r="N29" s="156"/>
      <c r="O29" s="156"/>
      <c r="P29" s="157"/>
    </row>
    <row r="30" spans="1:16">
      <c r="A30" s="35"/>
      <c r="B30" s="41"/>
      <c r="C30" s="42"/>
      <c r="D30" s="42"/>
      <c r="E30" s="42"/>
      <c r="F30" s="42"/>
      <c r="G30" s="42"/>
      <c r="H30" s="37"/>
      <c r="I30" s="37"/>
      <c r="J30" s="300">
        <f t="shared" si="1"/>
        <v>499968</v>
      </c>
      <c r="L30" s="155"/>
      <c r="M30" s="156"/>
      <c r="N30" s="156"/>
      <c r="O30" s="156"/>
      <c r="P30" s="157"/>
    </row>
    <row r="31" spans="1:16">
      <c r="B31" s="330" t="s">
        <v>120</v>
      </c>
      <c r="C31" s="331"/>
      <c r="D31" s="331"/>
      <c r="E31" s="331"/>
      <c r="F31" s="331"/>
      <c r="G31" s="331"/>
      <c r="H31" s="331"/>
      <c r="I31" s="331"/>
      <c r="J31" s="332"/>
    </row>
    <row r="32" spans="1:16">
      <c r="B32" s="41"/>
      <c r="C32" s="42"/>
      <c r="D32" s="42"/>
      <c r="E32" s="42"/>
      <c r="F32" s="42" t="s">
        <v>171</v>
      </c>
      <c r="G32" s="42" t="s">
        <v>171</v>
      </c>
      <c r="H32" s="37">
        <f>SUBVENCION!K15+SUBVENCION!L15</f>
        <v>977415</v>
      </c>
      <c r="I32" s="37"/>
      <c r="J32" s="300">
        <f>+J30+H32-I32</f>
        <v>1477383</v>
      </c>
      <c r="K32" s="44" t="s">
        <v>120</v>
      </c>
      <c r="L32" s="97" t="s">
        <v>5</v>
      </c>
      <c r="M32" s="97" t="s">
        <v>214</v>
      </c>
      <c r="N32" s="97" t="s">
        <v>212</v>
      </c>
      <c r="O32" s="97" t="s">
        <v>213</v>
      </c>
      <c r="P32" s="97" t="s">
        <v>7</v>
      </c>
    </row>
    <row r="33" spans="2:16">
      <c r="B33" s="41"/>
      <c r="C33" s="42"/>
      <c r="D33" s="42"/>
      <c r="E33" s="42"/>
      <c r="F33" s="42" t="s">
        <v>199</v>
      </c>
      <c r="G33" s="42" t="s">
        <v>199</v>
      </c>
      <c r="H33" s="37"/>
      <c r="I33" s="37">
        <v>361693</v>
      </c>
      <c r="J33" s="300">
        <f>+J32+H33-I33</f>
        <v>1115690</v>
      </c>
      <c r="L33" s="37">
        <f>+H32</f>
        <v>977415</v>
      </c>
      <c r="M33" s="51">
        <f>+L33*10%</f>
        <v>97741.5</v>
      </c>
      <c r="N33" s="51">
        <f>+I33</f>
        <v>361693</v>
      </c>
      <c r="O33" s="51">
        <f>+I34+I35+I36+I37</f>
        <v>412291</v>
      </c>
      <c r="P33" s="303">
        <f>+L33-M33-N33-O33</f>
        <v>105689.5</v>
      </c>
    </row>
    <row r="34" spans="2:16">
      <c r="B34" s="41">
        <v>46169</v>
      </c>
      <c r="C34" s="42">
        <v>15</v>
      </c>
      <c r="D34" s="42">
        <v>503</v>
      </c>
      <c r="E34" s="42">
        <v>845</v>
      </c>
      <c r="F34" s="42" t="s">
        <v>533</v>
      </c>
      <c r="G34" s="42" t="s">
        <v>534</v>
      </c>
      <c r="H34" s="37"/>
      <c r="I34" s="37">
        <v>201001</v>
      </c>
      <c r="J34" s="300">
        <f t="shared" ref="J34:J38" si="2">+J33+H34-I34</f>
        <v>914689</v>
      </c>
    </row>
    <row r="35" spans="2:16">
      <c r="B35" s="41">
        <v>46169</v>
      </c>
      <c r="C35" s="42">
        <v>17</v>
      </c>
      <c r="D35" s="42">
        <v>502</v>
      </c>
      <c r="E35" s="42">
        <v>843</v>
      </c>
      <c r="F35" s="42" t="s">
        <v>250</v>
      </c>
      <c r="G35" s="42" t="s">
        <v>582</v>
      </c>
      <c r="H35" s="37"/>
      <c r="I35" s="37">
        <f>127350+83940</f>
        <v>211290</v>
      </c>
      <c r="J35" s="300">
        <f t="shared" si="2"/>
        <v>703399</v>
      </c>
    </row>
    <row r="36" spans="2:16">
      <c r="B36" s="41"/>
      <c r="C36" s="42"/>
      <c r="D36" s="42"/>
      <c r="E36" s="42"/>
      <c r="F36" s="42"/>
      <c r="G36" s="42"/>
      <c r="H36" s="37"/>
      <c r="I36" s="37"/>
      <c r="J36" s="300">
        <f t="shared" si="2"/>
        <v>703399</v>
      </c>
    </row>
    <row r="37" spans="2:16">
      <c r="B37" s="41"/>
      <c r="C37" s="42"/>
      <c r="D37" s="42"/>
      <c r="E37" s="42"/>
      <c r="F37" s="42"/>
      <c r="G37" s="42"/>
      <c r="H37" s="37"/>
      <c r="I37" s="37"/>
      <c r="J37" s="300">
        <f t="shared" si="2"/>
        <v>703399</v>
      </c>
    </row>
    <row r="38" spans="2:16">
      <c r="B38" s="41"/>
      <c r="C38" s="42"/>
      <c r="D38" s="42"/>
      <c r="E38" s="42"/>
      <c r="F38" s="42"/>
      <c r="G38" s="42"/>
      <c r="H38" s="37"/>
      <c r="I38" s="37"/>
      <c r="J38" s="300">
        <f t="shared" si="2"/>
        <v>703399</v>
      </c>
    </row>
    <row r="39" spans="2:16">
      <c r="B39" s="330" t="s">
        <v>129</v>
      </c>
      <c r="C39" s="331"/>
      <c r="D39" s="331"/>
      <c r="E39" s="331"/>
      <c r="F39" s="331"/>
      <c r="G39" s="331"/>
      <c r="H39" s="331"/>
      <c r="I39" s="331"/>
      <c r="J39" s="332"/>
    </row>
    <row r="40" spans="2:16">
      <c r="B40" s="41"/>
      <c r="C40" s="42"/>
      <c r="D40" s="42"/>
      <c r="E40" s="42"/>
      <c r="F40" s="42" t="s">
        <v>171</v>
      </c>
      <c r="G40" s="42" t="s">
        <v>171</v>
      </c>
      <c r="H40" s="12">
        <f>SUBVENCION!M15+SUBVENCION!N15</f>
        <v>963081</v>
      </c>
      <c r="I40" s="37"/>
      <c r="J40" s="300">
        <f>+J38+H40-I40</f>
        <v>1666480</v>
      </c>
      <c r="K40" s="44" t="s">
        <v>129</v>
      </c>
      <c r="L40" s="97" t="s">
        <v>5</v>
      </c>
      <c r="M40" s="97" t="s">
        <v>214</v>
      </c>
      <c r="N40" s="97" t="s">
        <v>212</v>
      </c>
      <c r="O40" s="97" t="s">
        <v>213</v>
      </c>
      <c r="P40" s="97" t="s">
        <v>7</v>
      </c>
    </row>
    <row r="41" spans="2:16">
      <c r="B41" s="41"/>
      <c r="C41" s="42"/>
      <c r="D41" s="42"/>
      <c r="E41" s="42"/>
      <c r="F41" s="42" t="s">
        <v>199</v>
      </c>
      <c r="G41" s="42" t="s">
        <v>199</v>
      </c>
      <c r="H41" s="37"/>
      <c r="I41" s="37">
        <v>368769</v>
      </c>
      <c r="J41" s="300">
        <f>+J40+H41-I41</f>
        <v>1297711</v>
      </c>
      <c r="L41" s="37">
        <f>+H40</f>
        <v>963081</v>
      </c>
      <c r="M41" s="51">
        <f>+L41*10%</f>
        <v>96308.1</v>
      </c>
      <c r="N41" s="51">
        <f>+I41</f>
        <v>368769</v>
      </c>
      <c r="O41" s="51">
        <f>I42+I43+I44</f>
        <v>0</v>
      </c>
      <c r="P41" s="303">
        <f>+L41-M41-N41-O41</f>
        <v>498003.9</v>
      </c>
    </row>
    <row r="42" spans="2:16">
      <c r="B42" s="41"/>
      <c r="C42" s="42"/>
      <c r="D42" s="42"/>
      <c r="E42" s="42"/>
      <c r="F42" s="42"/>
      <c r="G42" s="42"/>
      <c r="H42" s="37"/>
      <c r="I42" s="37"/>
      <c r="J42" s="300">
        <f t="shared" ref="J42:J45" si="3">+J41+H42-I42</f>
        <v>1297711</v>
      </c>
      <c r="L42" s="155"/>
      <c r="M42" s="156"/>
      <c r="N42" s="156"/>
      <c r="O42" s="156"/>
      <c r="P42" s="157"/>
    </row>
    <row r="43" spans="2:16">
      <c r="B43" s="41"/>
      <c r="C43" s="42"/>
      <c r="D43" s="42"/>
      <c r="E43" s="42"/>
      <c r="F43" s="42"/>
      <c r="G43" s="42"/>
      <c r="H43" s="37"/>
      <c r="I43" s="37"/>
      <c r="J43" s="300">
        <f t="shared" si="3"/>
        <v>1297711</v>
      </c>
      <c r="L43" s="155"/>
      <c r="M43" s="156"/>
      <c r="N43" s="156"/>
      <c r="O43" s="156"/>
      <c r="P43" s="157"/>
    </row>
    <row r="44" spans="2:16">
      <c r="B44" s="41"/>
      <c r="C44" s="42"/>
      <c r="D44" s="42"/>
      <c r="E44" s="42"/>
      <c r="F44" s="42"/>
      <c r="G44" s="42"/>
      <c r="H44" s="37"/>
      <c r="I44" s="37"/>
      <c r="J44" s="300">
        <f t="shared" si="3"/>
        <v>1297711</v>
      </c>
      <c r="L44" s="155"/>
      <c r="M44" s="156"/>
      <c r="N44" s="156"/>
      <c r="O44" s="156"/>
      <c r="P44" s="157"/>
    </row>
    <row r="45" spans="2:16">
      <c r="B45" s="41"/>
      <c r="C45" s="42"/>
      <c r="D45" s="42"/>
      <c r="E45" s="42"/>
      <c r="F45" s="42"/>
      <c r="G45" s="42"/>
      <c r="H45" s="37"/>
      <c r="I45" s="37"/>
      <c r="J45" s="300">
        <f t="shared" si="3"/>
        <v>1297711</v>
      </c>
      <c r="L45" s="155"/>
      <c r="M45" s="156"/>
      <c r="N45" s="156"/>
      <c r="O45" s="156"/>
      <c r="P45" s="157"/>
    </row>
    <row r="46" spans="2:16">
      <c r="B46" s="330" t="s">
        <v>65</v>
      </c>
      <c r="C46" s="331"/>
      <c r="D46" s="331"/>
      <c r="E46" s="331"/>
      <c r="F46" s="331"/>
      <c r="G46" s="331"/>
      <c r="H46" s="331"/>
      <c r="I46" s="331"/>
      <c r="J46" s="332"/>
    </row>
    <row r="47" spans="2:16">
      <c r="B47" s="41"/>
      <c r="C47" s="42"/>
      <c r="D47" s="42"/>
      <c r="E47" s="42"/>
      <c r="F47" s="42" t="s">
        <v>171</v>
      </c>
      <c r="G47" s="42" t="s">
        <v>171</v>
      </c>
      <c r="H47" s="37">
        <f>+SUBVENCION!O15+SUBVENCION!P15</f>
        <v>980609</v>
      </c>
      <c r="I47" s="37"/>
      <c r="J47" s="300">
        <f>+J45+H47-I47</f>
        <v>2278320</v>
      </c>
      <c r="K47" s="44" t="s">
        <v>65</v>
      </c>
      <c r="L47" s="97" t="s">
        <v>5</v>
      </c>
      <c r="M47" s="97" t="s">
        <v>214</v>
      </c>
      <c r="N47" s="97" t="s">
        <v>212</v>
      </c>
      <c r="O47" s="97" t="s">
        <v>213</v>
      </c>
      <c r="P47" s="97" t="s">
        <v>7</v>
      </c>
    </row>
    <row r="48" spans="2:16">
      <c r="B48" s="41"/>
      <c r="C48" s="42"/>
      <c r="D48" s="42"/>
      <c r="E48" s="42"/>
      <c r="F48" s="42" t="s">
        <v>199</v>
      </c>
      <c r="G48" s="42" t="s">
        <v>199</v>
      </c>
      <c r="H48" s="37"/>
      <c r="I48" s="37">
        <v>358921</v>
      </c>
      <c r="J48" s="300">
        <f>+J47+H48-I48</f>
        <v>1919399</v>
      </c>
      <c r="L48" s="37">
        <f>+H47</f>
        <v>980609</v>
      </c>
      <c r="M48" s="51">
        <f>+L48*10%</f>
        <v>98060.900000000009</v>
      </c>
      <c r="N48" s="51">
        <f>+I48</f>
        <v>358921</v>
      </c>
      <c r="O48" s="51">
        <f>I49+I50+I51</f>
        <v>182070</v>
      </c>
      <c r="P48" s="303">
        <f>+L48-M48-N48-O48</f>
        <v>341557.1</v>
      </c>
    </row>
    <row r="49" spans="2:16">
      <c r="B49" s="41">
        <v>46212</v>
      </c>
      <c r="C49" s="42">
        <v>22</v>
      </c>
      <c r="D49" s="42">
        <v>641</v>
      </c>
      <c r="E49" s="42">
        <v>1077</v>
      </c>
      <c r="F49" s="42" t="s">
        <v>533</v>
      </c>
      <c r="G49" s="42" t="s">
        <v>534</v>
      </c>
      <c r="H49" s="37"/>
      <c r="I49" s="37">
        <v>182070</v>
      </c>
      <c r="J49" s="300">
        <f t="shared" ref="J49:J52" si="4">+J48+H49-I49</f>
        <v>1737329</v>
      </c>
      <c r="L49" s="155"/>
      <c r="M49" s="156"/>
      <c r="N49" s="156"/>
      <c r="O49" s="156"/>
      <c r="P49" s="157"/>
    </row>
    <row r="50" spans="2:16">
      <c r="B50" s="41"/>
      <c r="C50" s="42"/>
      <c r="D50" s="42"/>
      <c r="E50" s="42"/>
      <c r="F50" s="42"/>
      <c r="G50" s="42"/>
      <c r="H50" s="37"/>
      <c r="I50" s="37"/>
      <c r="J50" s="300">
        <f t="shared" si="4"/>
        <v>1737329</v>
      </c>
      <c r="L50" s="155"/>
      <c r="M50" s="156"/>
      <c r="N50" s="156"/>
      <c r="O50" s="156"/>
      <c r="P50" s="157"/>
    </row>
    <row r="51" spans="2:16">
      <c r="B51" s="41"/>
      <c r="C51" s="42"/>
      <c r="D51" s="42"/>
      <c r="E51" s="42"/>
      <c r="F51" s="42"/>
      <c r="G51" s="42"/>
      <c r="H51" s="37"/>
      <c r="I51" s="37"/>
      <c r="J51" s="300">
        <f t="shared" si="4"/>
        <v>1737329</v>
      </c>
      <c r="L51" s="155"/>
      <c r="M51" s="156"/>
      <c r="N51" s="156"/>
      <c r="O51" s="156"/>
      <c r="P51" s="157"/>
    </row>
    <row r="52" spans="2:16">
      <c r="B52" s="41"/>
      <c r="C52" s="42"/>
      <c r="D52" s="42"/>
      <c r="E52" s="42"/>
      <c r="F52" s="42"/>
      <c r="G52" s="42"/>
      <c r="H52" s="37"/>
      <c r="I52" s="37"/>
      <c r="J52" s="300">
        <f t="shared" si="4"/>
        <v>1737329</v>
      </c>
      <c r="L52" s="155"/>
      <c r="M52" s="156"/>
      <c r="N52" s="156"/>
      <c r="O52" s="156"/>
      <c r="P52" s="157"/>
    </row>
    <row r="53" spans="2:16">
      <c r="B53" s="320" t="s">
        <v>130</v>
      </c>
      <c r="C53" s="321"/>
      <c r="D53" s="321"/>
      <c r="E53" s="321"/>
      <c r="F53" s="321"/>
      <c r="G53" s="321"/>
      <c r="H53" s="321"/>
      <c r="I53" s="321"/>
      <c r="J53" s="322"/>
    </row>
    <row r="54" spans="2:16">
      <c r="B54" s="41"/>
      <c r="C54" s="42"/>
      <c r="D54" s="42"/>
      <c r="E54" s="42"/>
      <c r="F54" s="42" t="s">
        <v>171</v>
      </c>
      <c r="G54" s="42" t="s">
        <v>171</v>
      </c>
      <c r="H54" s="61">
        <f>+SUBVENCION!Q15+SUBVENCION!R15</f>
        <v>987062</v>
      </c>
      <c r="I54" s="37"/>
      <c r="J54" s="300">
        <f>+J52+H54-I54</f>
        <v>2724391</v>
      </c>
      <c r="K54" s="44" t="s">
        <v>130</v>
      </c>
      <c r="L54" s="97" t="s">
        <v>5</v>
      </c>
      <c r="M54" s="97" t="s">
        <v>214</v>
      </c>
      <c r="N54" s="97" t="s">
        <v>212</v>
      </c>
      <c r="O54" s="97" t="s">
        <v>213</v>
      </c>
      <c r="P54" s="97" t="s">
        <v>7</v>
      </c>
    </row>
    <row r="55" spans="2:16">
      <c r="B55" s="41"/>
      <c r="C55" s="42"/>
      <c r="D55" s="42"/>
      <c r="E55" s="42"/>
      <c r="F55" s="42" t="s">
        <v>199</v>
      </c>
      <c r="G55" s="42" t="s">
        <v>199</v>
      </c>
      <c r="H55" s="61"/>
      <c r="I55" s="37">
        <v>361289</v>
      </c>
      <c r="J55" s="300">
        <f>+J54+H55-I55</f>
        <v>2363102</v>
      </c>
      <c r="L55" s="37">
        <f>+H54</f>
        <v>987062</v>
      </c>
      <c r="M55" s="51">
        <f>+L55*10%</f>
        <v>98706.200000000012</v>
      </c>
      <c r="N55" s="51">
        <f>+I55</f>
        <v>361289</v>
      </c>
      <c r="O55" s="51">
        <f>SUM(I56:I58)</f>
        <v>328920</v>
      </c>
      <c r="P55" s="303">
        <f>+L55-M55-N55-O55</f>
        <v>198146.80000000005</v>
      </c>
    </row>
    <row r="56" spans="2:16">
      <c r="B56" s="41">
        <v>46238</v>
      </c>
      <c r="C56" s="42">
        <v>28</v>
      </c>
      <c r="D56" s="42">
        <v>762</v>
      </c>
      <c r="E56" s="42">
        <v>1300</v>
      </c>
      <c r="F56" s="42" t="s">
        <v>507</v>
      </c>
      <c r="G56" s="45" t="s">
        <v>242</v>
      </c>
      <c r="H56" s="61"/>
      <c r="I56" s="37">
        <v>114420</v>
      </c>
      <c r="J56" s="300">
        <f t="shared" ref="J56:J59" si="5">+J55+H56-I56</f>
        <v>2248682</v>
      </c>
    </row>
    <row r="57" spans="2:16">
      <c r="B57" s="41">
        <v>46184</v>
      </c>
      <c r="C57" s="42">
        <v>30</v>
      </c>
      <c r="D57" s="42">
        <v>790</v>
      </c>
      <c r="E57" s="42">
        <v>1302</v>
      </c>
      <c r="F57" s="42" t="s">
        <v>328</v>
      </c>
      <c r="G57" s="45" t="s">
        <v>275</v>
      </c>
      <c r="H57" s="61"/>
      <c r="I57" s="51">
        <v>214500</v>
      </c>
      <c r="J57" s="300">
        <f t="shared" si="5"/>
        <v>2034182</v>
      </c>
    </row>
    <row r="58" spans="2:16">
      <c r="B58" s="41"/>
      <c r="C58" s="42"/>
      <c r="D58" s="42"/>
      <c r="E58" s="42"/>
      <c r="F58" s="42"/>
      <c r="G58" s="45"/>
      <c r="H58" s="61"/>
      <c r="I58" s="37"/>
      <c r="J58" s="300">
        <f t="shared" si="5"/>
        <v>2034182</v>
      </c>
    </row>
    <row r="59" spans="2:16">
      <c r="B59" s="41"/>
      <c r="C59" s="42"/>
      <c r="D59" s="42"/>
      <c r="E59" s="42"/>
      <c r="F59" s="42"/>
      <c r="G59" s="45"/>
      <c r="H59" s="61"/>
      <c r="I59" s="37"/>
      <c r="J59" s="300">
        <f t="shared" si="5"/>
        <v>2034182</v>
      </c>
    </row>
    <row r="60" spans="2:16">
      <c r="B60" s="320" t="s">
        <v>131</v>
      </c>
      <c r="C60" s="321"/>
      <c r="D60" s="321"/>
      <c r="E60" s="321"/>
      <c r="F60" s="321"/>
      <c r="G60" s="321"/>
      <c r="H60" s="321"/>
      <c r="I60" s="321"/>
      <c r="J60" s="322"/>
    </row>
    <row r="61" spans="2:16">
      <c r="B61" s="41"/>
      <c r="C61" s="42"/>
      <c r="D61" s="42"/>
      <c r="E61" s="42"/>
      <c r="F61" s="42" t="s">
        <v>171</v>
      </c>
      <c r="G61" s="42" t="s">
        <v>171</v>
      </c>
      <c r="H61" s="37">
        <f>+SUBVENCION!S15+SUBVENCION!T15</f>
        <v>991084</v>
      </c>
      <c r="I61" s="37"/>
      <c r="J61" s="300">
        <f>J59+H61-I61</f>
        <v>3025266</v>
      </c>
      <c r="K61" s="44" t="s">
        <v>131</v>
      </c>
      <c r="L61" s="97" t="s">
        <v>5</v>
      </c>
      <c r="M61" s="97" t="s">
        <v>214</v>
      </c>
      <c r="N61" s="97" t="s">
        <v>212</v>
      </c>
      <c r="O61" s="97" t="s">
        <v>213</v>
      </c>
      <c r="P61" s="97" t="s">
        <v>7</v>
      </c>
    </row>
    <row r="62" spans="2:16">
      <c r="B62" s="41"/>
      <c r="C62" s="42"/>
      <c r="D62" s="42"/>
      <c r="E62" s="42"/>
      <c r="F62" s="42" t="s">
        <v>199</v>
      </c>
      <c r="G62" s="42" t="s">
        <v>199</v>
      </c>
      <c r="H62" s="37"/>
      <c r="I62" s="37">
        <v>361973</v>
      </c>
      <c r="J62" s="300">
        <f>+J61+H62-I62</f>
        <v>2663293</v>
      </c>
      <c r="L62" s="37">
        <f>+H61</f>
        <v>991084</v>
      </c>
      <c r="M62" s="51">
        <f>+L62*10%</f>
        <v>99108.400000000009</v>
      </c>
      <c r="N62" s="51">
        <f>+I62</f>
        <v>361973</v>
      </c>
      <c r="O62" s="51">
        <f>SUM(I63:I66)</f>
        <v>751710</v>
      </c>
      <c r="P62" s="303">
        <f>+L62-M62-N62-O62</f>
        <v>-221707.40000000002</v>
      </c>
    </row>
    <row r="63" spans="2:16">
      <c r="B63" s="41">
        <v>46266</v>
      </c>
      <c r="C63" s="42">
        <v>32</v>
      </c>
      <c r="D63" s="42">
        <v>915</v>
      </c>
      <c r="E63" s="42"/>
      <c r="F63" s="42" t="s">
        <v>507</v>
      </c>
      <c r="G63" s="42" t="s">
        <v>242</v>
      </c>
      <c r="H63" s="37"/>
      <c r="I63" s="37">
        <v>210760</v>
      </c>
      <c r="J63" s="300">
        <f t="shared" ref="J63:J68" si="6">+J62+H63-I63</f>
        <v>2452533</v>
      </c>
      <c r="L63" s="155"/>
      <c r="M63" s="156"/>
      <c r="N63" s="156"/>
      <c r="O63" s="156"/>
      <c r="P63" s="157"/>
    </row>
    <row r="64" spans="2:16">
      <c r="B64" s="41">
        <v>46268</v>
      </c>
      <c r="C64" s="42">
        <v>33</v>
      </c>
      <c r="D64" s="42">
        <v>932</v>
      </c>
      <c r="E64" s="42"/>
      <c r="F64" s="42" t="s">
        <v>267</v>
      </c>
      <c r="G64" s="42" t="s">
        <v>720</v>
      </c>
      <c r="H64" s="37"/>
      <c r="I64" s="37">
        <v>214800</v>
      </c>
      <c r="J64" s="300">
        <f t="shared" si="6"/>
        <v>2237733</v>
      </c>
      <c r="L64" s="155"/>
      <c r="M64" s="156"/>
      <c r="N64" s="156"/>
      <c r="O64" s="156"/>
      <c r="P64" s="157"/>
    </row>
    <row r="65" spans="2:19">
      <c r="B65" s="41">
        <v>46268</v>
      </c>
      <c r="C65" s="42">
        <v>35</v>
      </c>
      <c r="D65" s="42">
        <v>933</v>
      </c>
      <c r="E65" s="42"/>
      <c r="F65" s="42" t="s">
        <v>533</v>
      </c>
      <c r="G65" s="42" t="s">
        <v>721</v>
      </c>
      <c r="H65" s="37"/>
      <c r="I65" s="37">
        <v>208250</v>
      </c>
      <c r="J65" s="300">
        <f t="shared" si="6"/>
        <v>2029483</v>
      </c>
      <c r="L65" s="155"/>
      <c r="M65" s="156"/>
      <c r="N65" s="156"/>
      <c r="O65" s="156"/>
      <c r="P65" s="157"/>
    </row>
    <row r="66" spans="2:19">
      <c r="B66" s="41">
        <v>46294</v>
      </c>
      <c r="C66" s="42">
        <v>37</v>
      </c>
      <c r="D66" s="42">
        <v>1043</v>
      </c>
      <c r="E66" s="79"/>
      <c r="F66" s="42" t="s">
        <v>507</v>
      </c>
      <c r="G66" s="42" t="s">
        <v>242</v>
      </c>
      <c r="H66" s="37"/>
      <c r="I66" s="37">
        <v>117900</v>
      </c>
      <c r="J66" s="300">
        <f t="shared" si="6"/>
        <v>1911583</v>
      </c>
      <c r="L66" s="155"/>
      <c r="M66" s="156"/>
      <c r="N66" s="156"/>
      <c r="O66" s="156"/>
      <c r="P66" s="157"/>
    </row>
    <row r="67" spans="2:19">
      <c r="B67" s="41"/>
      <c r="C67" s="42"/>
      <c r="D67" s="42"/>
      <c r="E67" s="42"/>
      <c r="F67" s="42"/>
      <c r="G67" s="42"/>
      <c r="H67" s="37"/>
      <c r="I67" s="37"/>
      <c r="J67" s="300">
        <f t="shared" si="6"/>
        <v>1911583</v>
      </c>
      <c r="L67" s="155"/>
      <c r="M67" s="156"/>
      <c r="N67" s="156"/>
      <c r="O67" s="156"/>
      <c r="P67" s="157"/>
      <c r="R67" s="181"/>
      <c r="S67" s="181"/>
    </row>
    <row r="68" spans="2:19">
      <c r="B68" s="41"/>
      <c r="C68" s="42"/>
      <c r="D68" s="42"/>
      <c r="E68" s="42"/>
      <c r="F68" s="42"/>
      <c r="G68" s="45"/>
      <c r="H68" s="37"/>
      <c r="I68" s="37"/>
      <c r="J68" s="300">
        <f t="shared" si="6"/>
        <v>1911583</v>
      </c>
    </row>
    <row r="69" spans="2:19">
      <c r="B69" s="320" t="s">
        <v>132</v>
      </c>
      <c r="C69" s="321"/>
      <c r="D69" s="321"/>
      <c r="E69" s="321"/>
      <c r="F69" s="321"/>
      <c r="G69" s="321"/>
      <c r="H69" s="321"/>
      <c r="I69" s="321"/>
      <c r="J69" s="322"/>
    </row>
    <row r="70" spans="2:19">
      <c r="B70" s="41"/>
      <c r="C70" s="42"/>
      <c r="D70" s="42"/>
      <c r="E70" s="42"/>
      <c r="F70" s="42" t="s">
        <v>171</v>
      </c>
      <c r="G70" s="42" t="s">
        <v>171</v>
      </c>
      <c r="H70" s="12">
        <f>+SUBVENCION!U15+SUBVENCION!V15</f>
        <v>0</v>
      </c>
      <c r="I70" s="12"/>
      <c r="J70" s="300">
        <f>+J68+H70-I70</f>
        <v>1911583</v>
      </c>
      <c r="K70" s="44" t="s">
        <v>132</v>
      </c>
      <c r="L70" s="97" t="s">
        <v>5</v>
      </c>
      <c r="M70" s="97" t="s">
        <v>214</v>
      </c>
      <c r="N70" s="97" t="s">
        <v>212</v>
      </c>
      <c r="O70" s="97" t="s">
        <v>213</v>
      </c>
      <c r="P70" s="97" t="s">
        <v>7</v>
      </c>
    </row>
    <row r="71" spans="2:19">
      <c r="B71" s="41"/>
      <c r="C71" s="42"/>
      <c r="D71" s="42"/>
      <c r="E71" s="42"/>
      <c r="F71" s="42" t="s">
        <v>199</v>
      </c>
      <c r="G71" s="42" t="s">
        <v>199</v>
      </c>
      <c r="H71" s="12"/>
      <c r="I71" s="12"/>
      <c r="J71" s="300">
        <f>+J70+H71-I71</f>
        <v>1911583</v>
      </c>
      <c r="L71" s="37">
        <f>+H70</f>
        <v>0</v>
      </c>
      <c r="M71" s="51">
        <f>+L71*10%</f>
        <v>0</v>
      </c>
      <c r="N71" s="51">
        <f>+I71</f>
        <v>0</v>
      </c>
      <c r="O71" s="51">
        <f>+I72+I73+I74+I76+I77+I78</f>
        <v>0</v>
      </c>
      <c r="P71" s="153">
        <f>+L71-M71-N71-O71</f>
        <v>0</v>
      </c>
    </row>
    <row r="72" spans="2:19">
      <c r="B72" s="41"/>
      <c r="C72" s="42"/>
      <c r="D72" s="42"/>
      <c r="E72" s="42"/>
      <c r="F72" s="42"/>
      <c r="G72" s="45"/>
      <c r="H72" s="12"/>
      <c r="I72" s="12"/>
      <c r="J72" s="300">
        <f>+J71+H72-I72</f>
        <v>1911583</v>
      </c>
    </row>
    <row r="73" spans="2:19">
      <c r="B73" s="41"/>
      <c r="C73" s="42"/>
      <c r="D73" s="42"/>
      <c r="E73" s="42"/>
      <c r="F73" s="42"/>
      <c r="G73" s="45"/>
      <c r="H73" s="37"/>
      <c r="I73" s="37"/>
      <c r="J73" s="300">
        <f t="shared" ref="J73:J78" si="7">+J72+H73-I73</f>
        <v>1911583</v>
      </c>
    </row>
    <row r="74" spans="2:19">
      <c r="B74" s="41"/>
      <c r="C74" s="42"/>
      <c r="D74" s="42"/>
      <c r="E74" s="42"/>
      <c r="F74" s="42"/>
      <c r="G74" s="45"/>
      <c r="H74" s="37"/>
      <c r="I74" s="37"/>
      <c r="J74" s="300">
        <f t="shared" si="7"/>
        <v>1911583</v>
      </c>
    </row>
    <row r="75" spans="2:19">
      <c r="B75" s="41"/>
      <c r="C75" s="42"/>
      <c r="D75" s="42"/>
      <c r="E75" s="42"/>
      <c r="F75" s="42"/>
      <c r="G75" s="45"/>
      <c r="H75" s="37"/>
      <c r="I75" s="37"/>
      <c r="J75" s="300">
        <f t="shared" si="7"/>
        <v>1911583</v>
      </c>
    </row>
    <row r="76" spans="2:19">
      <c r="B76" s="41"/>
      <c r="C76" s="42"/>
      <c r="D76" s="42"/>
      <c r="E76" s="42"/>
      <c r="F76" s="42"/>
      <c r="G76" s="45"/>
      <c r="H76" s="37"/>
      <c r="I76" s="37"/>
      <c r="J76" s="300">
        <f t="shared" si="7"/>
        <v>1911583</v>
      </c>
    </row>
    <row r="77" spans="2:19">
      <c r="B77" s="41"/>
      <c r="C77" s="42"/>
      <c r="D77" s="42"/>
      <c r="E77" s="42"/>
      <c r="F77" s="42"/>
      <c r="G77" s="45"/>
      <c r="H77" s="37"/>
      <c r="I77" s="37"/>
      <c r="J77" s="300">
        <f t="shared" si="7"/>
        <v>1911583</v>
      </c>
    </row>
    <row r="78" spans="2:19">
      <c r="B78" s="41"/>
      <c r="C78" s="42"/>
      <c r="D78" s="42"/>
      <c r="E78" s="42"/>
      <c r="F78" s="42"/>
      <c r="G78" s="45"/>
      <c r="H78" s="37"/>
      <c r="I78" s="37"/>
      <c r="J78" s="300">
        <f t="shared" si="7"/>
        <v>1911583</v>
      </c>
    </row>
    <row r="79" spans="2:19">
      <c r="B79" s="320" t="s">
        <v>133</v>
      </c>
      <c r="C79" s="321"/>
      <c r="D79" s="321"/>
      <c r="E79" s="321"/>
      <c r="F79" s="321"/>
      <c r="G79" s="321"/>
      <c r="H79" s="321"/>
      <c r="I79" s="321"/>
      <c r="J79" s="322"/>
    </row>
    <row r="80" spans="2:19">
      <c r="B80" s="41"/>
      <c r="C80" s="42"/>
      <c r="D80" s="42"/>
      <c r="E80" s="42"/>
      <c r="F80" s="42" t="s">
        <v>171</v>
      </c>
      <c r="G80" s="42" t="s">
        <v>171</v>
      </c>
      <c r="H80" s="37">
        <f>+SUBVENCION!W15+SUBVENCION!X15</f>
        <v>0</v>
      </c>
      <c r="I80" s="37"/>
      <c r="J80" s="300">
        <f>+J78+H80-I80</f>
        <v>1911583</v>
      </c>
      <c r="K80" s="44" t="s">
        <v>133</v>
      </c>
      <c r="L80" s="97" t="s">
        <v>5</v>
      </c>
      <c r="M80" s="97" t="s">
        <v>214</v>
      </c>
      <c r="N80" s="97" t="s">
        <v>212</v>
      </c>
      <c r="O80" s="97" t="s">
        <v>213</v>
      </c>
      <c r="P80" s="97" t="s">
        <v>7</v>
      </c>
    </row>
    <row r="81" spans="1:16">
      <c r="B81" s="41"/>
      <c r="C81" s="42"/>
      <c r="D81" s="42"/>
      <c r="E81" s="42"/>
      <c r="F81" s="42" t="s">
        <v>199</v>
      </c>
      <c r="G81" s="42" t="s">
        <v>199</v>
      </c>
      <c r="H81" s="37"/>
      <c r="I81" s="37"/>
      <c r="J81" s="300">
        <f>+J80+H81-I81</f>
        <v>1911583</v>
      </c>
      <c r="L81" s="37">
        <f>+H80</f>
        <v>0</v>
      </c>
      <c r="M81" s="51">
        <f>+L81*10%</f>
        <v>0</v>
      </c>
      <c r="N81" s="51">
        <f>+I81</f>
        <v>0</v>
      </c>
      <c r="O81" s="51">
        <f>SUM(I82:I87)</f>
        <v>0</v>
      </c>
      <c r="P81" s="153">
        <f>+L81-M81-N81-O81</f>
        <v>0</v>
      </c>
    </row>
    <row r="82" spans="1:16">
      <c r="B82" s="41"/>
      <c r="C82" s="42"/>
      <c r="D82" s="42"/>
      <c r="E82" s="42"/>
      <c r="F82" s="42"/>
      <c r="G82" s="45"/>
      <c r="H82" s="37"/>
      <c r="I82" s="37"/>
      <c r="J82" s="300">
        <f t="shared" ref="J82:J87" si="8">+J81+H82-I82</f>
        <v>1911583</v>
      </c>
    </row>
    <row r="83" spans="1:16">
      <c r="B83" s="41"/>
      <c r="C83" s="42"/>
      <c r="D83" s="42"/>
      <c r="E83" s="42"/>
      <c r="F83" s="42"/>
      <c r="G83" s="45"/>
      <c r="H83" s="37"/>
      <c r="I83" s="37"/>
      <c r="J83" s="300">
        <f t="shared" si="8"/>
        <v>1911583</v>
      </c>
    </row>
    <row r="84" spans="1:16">
      <c r="B84" s="41"/>
      <c r="C84" s="42"/>
      <c r="D84" s="42"/>
      <c r="E84" s="42"/>
      <c r="F84" s="42"/>
      <c r="G84" s="45"/>
      <c r="H84" s="37"/>
      <c r="I84" s="37"/>
      <c r="J84" s="300">
        <f t="shared" si="8"/>
        <v>1911583</v>
      </c>
    </row>
    <row r="85" spans="1:16">
      <c r="B85" s="41"/>
      <c r="C85" s="42"/>
      <c r="D85" s="42"/>
      <c r="E85" s="42"/>
      <c r="F85" s="45"/>
      <c r="G85" s="42"/>
      <c r="H85" s="37"/>
      <c r="I85" s="37"/>
      <c r="J85" s="300">
        <f t="shared" si="8"/>
        <v>1911583</v>
      </c>
    </row>
    <row r="86" spans="1:16">
      <c r="B86" s="41"/>
      <c r="C86" s="42"/>
      <c r="D86" s="42"/>
      <c r="E86" s="42"/>
      <c r="F86" s="45"/>
      <c r="G86" s="42"/>
      <c r="H86" s="37"/>
      <c r="I86" s="37"/>
      <c r="J86" s="300">
        <f t="shared" si="8"/>
        <v>1911583</v>
      </c>
    </row>
    <row r="87" spans="1:16">
      <c r="B87" s="41"/>
      <c r="C87" s="42"/>
      <c r="D87" s="42"/>
      <c r="E87" s="42"/>
      <c r="F87" s="45"/>
      <c r="G87" s="42"/>
      <c r="H87" s="37"/>
      <c r="I87" s="37"/>
      <c r="J87" s="300">
        <f t="shared" si="8"/>
        <v>1911583</v>
      </c>
    </row>
    <row r="88" spans="1:16">
      <c r="B88" s="320" t="s">
        <v>134</v>
      </c>
      <c r="C88" s="321"/>
      <c r="D88" s="321"/>
      <c r="E88" s="321"/>
      <c r="F88" s="321"/>
      <c r="G88" s="321"/>
      <c r="H88" s="321"/>
      <c r="I88" s="321"/>
      <c r="J88" s="322"/>
    </row>
    <row r="89" spans="1:16">
      <c r="B89" s="41"/>
      <c r="C89" s="42"/>
      <c r="D89" s="42"/>
      <c r="E89" s="42"/>
      <c r="F89" s="42" t="s">
        <v>171</v>
      </c>
      <c r="G89" s="42" t="s">
        <v>171</v>
      </c>
      <c r="H89" s="37">
        <f>+SUBVENCION!Y15+SUBVENCION!Z15</f>
        <v>0</v>
      </c>
      <c r="I89" s="37"/>
      <c r="J89" s="300">
        <f>+J87+H89-I89</f>
        <v>1911583</v>
      </c>
      <c r="K89" s="44" t="s">
        <v>134</v>
      </c>
      <c r="L89" s="97" t="s">
        <v>5</v>
      </c>
      <c r="M89" s="97" t="s">
        <v>214</v>
      </c>
      <c r="N89" s="97" t="s">
        <v>212</v>
      </c>
      <c r="O89" s="97" t="s">
        <v>213</v>
      </c>
      <c r="P89" s="97" t="s">
        <v>7</v>
      </c>
    </row>
    <row r="90" spans="1:16">
      <c r="B90" s="41"/>
      <c r="C90" s="42"/>
      <c r="D90" s="42"/>
      <c r="E90" s="42"/>
      <c r="F90" s="42" t="s">
        <v>199</v>
      </c>
      <c r="G90" s="42" t="s">
        <v>199</v>
      </c>
      <c r="H90" s="37"/>
      <c r="I90" s="37"/>
      <c r="J90" s="300">
        <f>+J89+H90-I90</f>
        <v>1911583</v>
      </c>
      <c r="L90" s="37">
        <f>+H89</f>
        <v>0</v>
      </c>
      <c r="M90" s="51">
        <f>+L90*10%</f>
        <v>0</v>
      </c>
      <c r="N90" s="51">
        <f>+I90</f>
        <v>0</v>
      </c>
      <c r="O90" s="51">
        <f>+I91</f>
        <v>0</v>
      </c>
      <c r="P90" s="153">
        <f>+L90-M90-N90-O90</f>
        <v>0</v>
      </c>
    </row>
    <row r="91" spans="1:16">
      <c r="B91" s="41"/>
      <c r="C91" s="42"/>
      <c r="D91" s="42"/>
      <c r="E91" s="42"/>
      <c r="F91" s="45"/>
      <c r="G91" s="42"/>
      <c r="H91" s="37"/>
      <c r="I91" s="37"/>
      <c r="J91" s="300">
        <f t="shared" ref="J91:J93" si="9">+J90+H91-I91</f>
        <v>1911583</v>
      </c>
    </row>
    <row r="92" spans="1:16">
      <c r="A92" s="35"/>
      <c r="B92" s="41"/>
      <c r="C92" s="42"/>
      <c r="D92" s="42"/>
      <c r="E92" s="42"/>
      <c r="F92" s="42"/>
      <c r="G92" s="45"/>
      <c r="H92" s="37"/>
      <c r="I92" s="37"/>
      <c r="J92" s="300">
        <f t="shared" si="9"/>
        <v>1911583</v>
      </c>
    </row>
    <row r="93" spans="1:16">
      <c r="A93" s="35"/>
      <c r="B93" s="41"/>
      <c r="C93" s="42"/>
      <c r="D93" s="42"/>
      <c r="E93" s="42"/>
      <c r="F93" s="42"/>
      <c r="G93" s="45"/>
      <c r="H93" s="37"/>
      <c r="I93" s="37"/>
      <c r="J93" s="300">
        <f t="shared" si="9"/>
        <v>1911583</v>
      </c>
    </row>
    <row r="94" spans="1:16">
      <c r="A94" s="35"/>
      <c r="B94" s="91"/>
      <c r="C94" s="92"/>
      <c r="D94" s="92"/>
      <c r="E94" s="92"/>
      <c r="F94" s="151" t="s">
        <v>201</v>
      </c>
      <c r="G94" s="151" t="s">
        <v>201</v>
      </c>
      <c r="H94" s="113">
        <f>(H11+H14+H17+H24+H32+H40+H47+H54+H61+H70+H80+H89)*-10%</f>
        <v>-882557.5</v>
      </c>
      <c r="I94" s="103"/>
      <c r="J94" s="300">
        <f>+J93+H94-I94</f>
        <v>1029025.5</v>
      </c>
      <c r="K94" s="44" t="s">
        <v>215</v>
      </c>
      <c r="L94" s="97" t="s">
        <v>5</v>
      </c>
      <c r="M94" s="97" t="s">
        <v>214</v>
      </c>
      <c r="N94" s="97" t="s">
        <v>212</v>
      </c>
      <c r="O94" s="97" t="s">
        <v>213</v>
      </c>
      <c r="P94" s="97" t="s">
        <v>7</v>
      </c>
    </row>
    <row r="95" spans="1:16">
      <c r="A95" s="48"/>
      <c r="B95" s="46" t="s">
        <v>8</v>
      </c>
      <c r="C95" s="97" t="s">
        <v>8</v>
      </c>
      <c r="D95" s="97"/>
      <c r="E95" s="97"/>
      <c r="F95" s="97"/>
      <c r="G95" s="97" t="s">
        <v>9</v>
      </c>
      <c r="H95" s="38">
        <f>SUM(H11:H94)</f>
        <v>7943017.5</v>
      </c>
      <c r="I95" s="38">
        <f>SUM(I11:I94)</f>
        <v>6913992</v>
      </c>
      <c r="J95" s="309">
        <f>H95-I95</f>
        <v>1029025.5</v>
      </c>
      <c r="L95" s="37">
        <f>+H11+H14+H17+H24+H32+H40+H47+H54+H61+H70+H80+H89</f>
        <v>8825575</v>
      </c>
      <c r="M95" s="51">
        <f>+L95*10%</f>
        <v>882557.5</v>
      </c>
      <c r="N95" s="51">
        <f>+I12+I15+I18+I25+I33+I41+I48+I55+I62+I71+I81+I90</f>
        <v>4842802</v>
      </c>
      <c r="O95" s="51">
        <f>+I66+I65+I64+I63+I57+I56+I49+I35+I34+I20+I19</f>
        <v>2071190</v>
      </c>
      <c r="P95" s="153">
        <f>+L95-M95-N95-O95</f>
        <v>1029025.5</v>
      </c>
    </row>
    <row r="96" spans="1:16">
      <c r="H96" s="104"/>
    </row>
    <row r="97" spans="7:16">
      <c r="L97" s="154"/>
      <c r="M97" s="154"/>
      <c r="N97" s="154"/>
      <c r="O97" s="154"/>
      <c r="P97" s="154">
        <f>+P12+P15+P18+P25+P33+P41+P48+P55+P62+P71+P81+P90</f>
        <v>1029025.5000000001</v>
      </c>
    </row>
    <row r="99" spans="7:16">
      <c r="N99" s="181">
        <f>N97+O97</f>
        <v>0</v>
      </c>
    </row>
    <row r="100" spans="7:16">
      <c r="G100" s="44" t="s">
        <v>210</v>
      </c>
      <c r="H100" s="97" t="s">
        <v>5</v>
      </c>
      <c r="I100" s="97" t="s">
        <v>6</v>
      </c>
      <c r="J100" s="97" t="s">
        <v>198</v>
      </c>
    </row>
    <row r="101" spans="7:16">
      <c r="H101" s="144">
        <f>+H95</f>
        <v>7943017.5</v>
      </c>
      <c r="I101" s="101">
        <f>+I95</f>
        <v>6913992</v>
      </c>
      <c r="J101" s="144">
        <f>+I101*100/H101</f>
        <v>87.044904534076622</v>
      </c>
    </row>
  </sheetData>
  <autoFilter ref="A8:J8" xr:uid="{00000000-0009-0000-0000-000001000000}"/>
  <mergeCells count="16">
    <mergeCell ref="B88:J88"/>
    <mergeCell ref="B39:J39"/>
    <mergeCell ref="B31:J31"/>
    <mergeCell ref="B13:J13"/>
    <mergeCell ref="B16:J16"/>
    <mergeCell ref="B23:J23"/>
    <mergeCell ref="B79:J79"/>
    <mergeCell ref="B69:J69"/>
    <mergeCell ref="B60:J60"/>
    <mergeCell ref="B53:J53"/>
    <mergeCell ref="B46:J46"/>
    <mergeCell ref="B2:J2"/>
    <mergeCell ref="B3:J3"/>
    <mergeCell ref="B4:J4"/>
    <mergeCell ref="B5:J5"/>
    <mergeCell ref="B10:J10"/>
  </mergeCells>
  <conditionalFormatting sqref="H1:J30 H32:J38 H40:J45 H47:J52 H102:J1048576">
    <cfRule type="cellIs" dxfId="190" priority="10" operator="lessThan">
      <formula>0</formula>
    </cfRule>
  </conditionalFormatting>
  <conditionalFormatting sqref="H61:J68">
    <cfRule type="cellIs" dxfId="189" priority="4" operator="lessThan">
      <formula>0</formula>
    </cfRule>
  </conditionalFormatting>
  <conditionalFormatting sqref="H70:J78">
    <cfRule type="cellIs" dxfId="188" priority="3" operator="lessThan">
      <formula>0</formula>
    </cfRule>
  </conditionalFormatting>
  <conditionalFormatting sqref="H80:J87">
    <cfRule type="cellIs" dxfId="187" priority="2" operator="lessThan">
      <formula>0</formula>
    </cfRule>
  </conditionalFormatting>
  <conditionalFormatting sqref="H89:J99">
    <cfRule type="cellIs" dxfId="186" priority="1" operator="lessThan">
      <formula>0</formula>
    </cfRule>
  </conditionalFormatting>
  <conditionalFormatting sqref="I54:J59">
    <cfRule type="cellIs" dxfId="185" priority="5" operator="lessThan">
      <formula>0</formula>
    </cfRule>
  </conditionalFormatting>
  <pageMargins left="1.1023622047244095" right="0.70866141732283472" top="0.55118110236220474" bottom="0.55118110236220474" header="0.31496062992125984" footer="0.31496062992125984"/>
  <pageSetup paperSize="14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0"/>
  <sheetViews>
    <sheetView showGridLines="0" topLeftCell="B64" zoomScaleNormal="100" workbookViewId="0">
      <selection activeCell="H104" sqref="H104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1.42578125" style="44"/>
    <col min="6" max="6" width="22.7109375" style="44" bestFit="1" customWidth="1"/>
    <col min="7" max="7" width="25.85546875" style="44" customWidth="1"/>
    <col min="8" max="12" width="11.42578125" style="44"/>
    <col min="13" max="14" width="16.7109375" style="44" customWidth="1"/>
    <col min="15" max="16384" width="11.42578125" style="44"/>
  </cols>
  <sheetData>
    <row r="1" spans="1:2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>
      <c r="A4" s="35"/>
      <c r="B4" s="327" t="s">
        <v>78</v>
      </c>
      <c r="C4" s="328"/>
      <c r="D4" s="328"/>
      <c r="E4" s="328"/>
      <c r="F4" s="328"/>
      <c r="G4" s="328"/>
      <c r="H4" s="328"/>
      <c r="I4" s="328"/>
      <c r="J4" s="329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5"/>
      <c r="B5" s="327" t="s">
        <v>76</v>
      </c>
      <c r="C5" s="328"/>
      <c r="D5" s="328"/>
      <c r="E5" s="328"/>
      <c r="F5" s="328"/>
      <c r="G5" s="328"/>
      <c r="H5" s="328"/>
      <c r="I5" s="328"/>
      <c r="J5" s="329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>
      <c r="A6" s="35"/>
      <c r="B6" s="327" t="s">
        <v>127</v>
      </c>
      <c r="C6" s="328"/>
      <c r="D6" s="328"/>
      <c r="E6" s="328"/>
      <c r="F6" s="328"/>
      <c r="G6" s="328"/>
      <c r="H6" s="328"/>
      <c r="I6" s="328"/>
      <c r="J6" s="329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>
      <c r="A7" s="35"/>
      <c r="B7" s="327" t="s">
        <v>77</v>
      </c>
      <c r="C7" s="328"/>
      <c r="D7" s="328"/>
      <c r="E7" s="328"/>
      <c r="F7" s="328"/>
      <c r="G7" s="328"/>
      <c r="H7" s="328"/>
      <c r="I7" s="328"/>
      <c r="J7" s="329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>
      <c r="A9" s="35"/>
      <c r="B9" s="46"/>
      <c r="C9" s="97"/>
      <c r="D9" s="97"/>
      <c r="E9" s="97"/>
      <c r="F9" s="97"/>
      <c r="G9" s="45" t="s">
        <v>236</v>
      </c>
      <c r="H9" s="52">
        <f>'[1]G-394'!$J$105</f>
        <v>-365551.5</v>
      </c>
      <c r="I9" s="36"/>
      <c r="J9" s="308">
        <f>+H9-I9</f>
        <v>-365551.5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s="49" customForma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</row>
    <row r="11" spans="1:21">
      <c r="A11" s="35"/>
      <c r="B11" s="41"/>
      <c r="C11" s="42"/>
      <c r="D11" s="42"/>
      <c r="E11" s="42"/>
      <c r="F11" s="42" t="s">
        <v>171</v>
      </c>
      <c r="G11" s="42" t="s">
        <v>171</v>
      </c>
      <c r="H11" s="37">
        <f>SUBVENCION!C16+SUBVENCION!D16</f>
        <v>990720</v>
      </c>
      <c r="I11" s="37"/>
      <c r="J11" s="300">
        <f>H11-I11</f>
        <v>990720</v>
      </c>
      <c r="K11" s="35" t="s">
        <v>66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  <c r="Q11" s="35"/>
      <c r="R11" s="35"/>
      <c r="S11" s="35"/>
      <c r="T11" s="35"/>
      <c r="U11" s="35"/>
    </row>
    <row r="12" spans="1:21">
      <c r="A12" s="35"/>
      <c r="B12" s="41"/>
      <c r="C12" s="42"/>
      <c r="D12" s="42"/>
      <c r="E12" s="42"/>
      <c r="F12" s="42" t="s">
        <v>199</v>
      </c>
      <c r="G12" s="42" t="s">
        <v>199</v>
      </c>
      <c r="H12" s="37"/>
      <c r="I12" s="37">
        <v>159835</v>
      </c>
      <c r="J12" s="300">
        <f>+J11+H12-I12</f>
        <v>830885</v>
      </c>
      <c r="K12" s="35"/>
      <c r="L12" s="37">
        <f>+H11</f>
        <v>990720</v>
      </c>
      <c r="M12" s="51">
        <f>+L12*10%</f>
        <v>99072</v>
      </c>
      <c r="N12" s="51">
        <f>+I12</f>
        <v>159835</v>
      </c>
      <c r="O12" s="51">
        <v>0</v>
      </c>
      <c r="P12" s="303">
        <f>+L12-M12-N12-O12</f>
        <v>731813</v>
      </c>
      <c r="Q12" s="35"/>
      <c r="R12" s="35"/>
      <c r="S12" s="35"/>
      <c r="T12" s="35"/>
      <c r="U12" s="35"/>
    </row>
    <row r="13" spans="1:21" s="49" customFormat="1">
      <c r="A13" s="48"/>
      <c r="B13" s="330" t="s">
        <v>67</v>
      </c>
      <c r="C13" s="331"/>
      <c r="D13" s="331"/>
      <c r="E13" s="331"/>
      <c r="F13" s="331"/>
      <c r="G13" s="331"/>
      <c r="H13" s="331"/>
      <c r="I13" s="331"/>
      <c r="J13" s="332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</row>
    <row r="14" spans="1:21">
      <c r="A14" s="35"/>
      <c r="B14" s="41"/>
      <c r="C14" s="42"/>
      <c r="D14" s="42"/>
      <c r="E14" s="42"/>
      <c r="F14" s="42" t="s">
        <v>171</v>
      </c>
      <c r="G14" s="42" t="s">
        <v>171</v>
      </c>
      <c r="H14" s="37">
        <f>SUBVENCION!E16+SUBVENCION!F16</f>
        <v>1051150</v>
      </c>
      <c r="I14" s="37"/>
      <c r="J14" s="300">
        <f>+J12+H14-I14</f>
        <v>1882035</v>
      </c>
      <c r="K14" s="35" t="s">
        <v>67</v>
      </c>
      <c r="L14" s="97" t="s">
        <v>5</v>
      </c>
      <c r="M14" s="97" t="s">
        <v>214</v>
      </c>
      <c r="N14" s="97" t="s">
        <v>212</v>
      </c>
      <c r="O14" s="97" t="s">
        <v>213</v>
      </c>
      <c r="P14" s="97" t="s">
        <v>7</v>
      </c>
      <c r="Q14" s="35"/>
      <c r="R14" s="35"/>
      <c r="S14" s="35"/>
      <c r="T14" s="35"/>
      <c r="U14" s="35"/>
    </row>
    <row r="15" spans="1:21">
      <c r="A15" s="35"/>
      <c r="B15" s="41"/>
      <c r="C15" s="42"/>
      <c r="D15" s="42"/>
      <c r="E15" s="42"/>
      <c r="F15" s="42" t="s">
        <v>199</v>
      </c>
      <c r="G15" s="42" t="s">
        <v>199</v>
      </c>
      <c r="H15" s="37"/>
      <c r="I15" s="12">
        <v>163044</v>
      </c>
      <c r="J15" s="300">
        <f>+J14+H15-I15</f>
        <v>1718991</v>
      </c>
      <c r="K15" s="35"/>
      <c r="L15" s="37">
        <f>+H14</f>
        <v>1051150</v>
      </c>
      <c r="M15" s="51">
        <f>+L15*10%</f>
        <v>105115</v>
      </c>
      <c r="N15" s="51">
        <f>+I15</f>
        <v>163044</v>
      </c>
      <c r="O15" s="51">
        <v>0</v>
      </c>
      <c r="P15" s="303">
        <f>+L15-M15-N15-O15</f>
        <v>782991</v>
      </c>
      <c r="Q15" s="35"/>
      <c r="R15" s="35"/>
      <c r="S15" s="35"/>
      <c r="T15" s="35"/>
      <c r="U15" s="35"/>
    </row>
    <row r="16" spans="1:21" s="49" customFormat="1">
      <c r="A16" s="48"/>
      <c r="B16" s="330" t="s">
        <v>68</v>
      </c>
      <c r="C16" s="331"/>
      <c r="D16" s="331"/>
      <c r="E16" s="331"/>
      <c r="F16" s="331"/>
      <c r="G16" s="331"/>
      <c r="H16" s="331"/>
      <c r="I16" s="331"/>
      <c r="J16" s="332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</row>
    <row r="17" spans="1:21">
      <c r="A17" s="35"/>
      <c r="B17" s="41"/>
      <c r="C17" s="42"/>
      <c r="D17" s="42"/>
      <c r="E17" s="42"/>
      <c r="F17" s="42" t="s">
        <v>171</v>
      </c>
      <c r="G17" s="42" t="s">
        <v>171</v>
      </c>
      <c r="H17" s="37">
        <f>SUBVENCION!G15+SUBVENCION!H15</f>
        <v>970357</v>
      </c>
      <c r="I17" s="37"/>
      <c r="J17" s="300">
        <f>+J15+H17-I17</f>
        <v>2689348</v>
      </c>
      <c r="K17" s="35" t="s">
        <v>68</v>
      </c>
      <c r="L17" s="97" t="s">
        <v>5</v>
      </c>
      <c r="M17" s="97" t="s">
        <v>214</v>
      </c>
      <c r="N17" s="97" t="s">
        <v>212</v>
      </c>
      <c r="O17" s="97" t="s">
        <v>213</v>
      </c>
      <c r="P17" s="97" t="s">
        <v>7</v>
      </c>
      <c r="Q17" s="35"/>
      <c r="R17" s="35"/>
      <c r="S17" s="35"/>
      <c r="T17" s="35"/>
      <c r="U17" s="35"/>
    </row>
    <row r="18" spans="1:21">
      <c r="A18" s="35"/>
      <c r="B18" s="41"/>
      <c r="C18" s="42"/>
      <c r="D18" s="42"/>
      <c r="E18" s="42"/>
      <c r="F18" s="42" t="s">
        <v>199</v>
      </c>
      <c r="G18" s="42" t="s">
        <v>199</v>
      </c>
      <c r="H18" s="37"/>
      <c r="I18" s="12">
        <v>19021</v>
      </c>
      <c r="J18" s="300">
        <f>+J17+H18-I18</f>
        <v>2670327</v>
      </c>
      <c r="K18" s="35"/>
      <c r="L18" s="37">
        <f>+H17</f>
        <v>970357</v>
      </c>
      <c r="M18" s="51">
        <f>+L18*10%</f>
        <v>97035.700000000012</v>
      </c>
      <c r="N18" s="51">
        <f>+I18</f>
        <v>19021</v>
      </c>
      <c r="O18" s="51">
        <f>I19+I20+I21+I22+I23+I24+I25+I26</f>
        <v>594018</v>
      </c>
      <c r="P18" s="303">
        <f>+L18-M18-N18-O18</f>
        <v>260282.30000000005</v>
      </c>
      <c r="Q18" s="35"/>
      <c r="R18" s="35"/>
      <c r="S18" s="35"/>
      <c r="T18" s="35"/>
      <c r="U18" s="35"/>
    </row>
    <row r="19" spans="1:21">
      <c r="A19" s="35"/>
      <c r="B19" s="41">
        <v>46099</v>
      </c>
      <c r="C19" s="42">
        <v>3</v>
      </c>
      <c r="D19" s="42">
        <v>131</v>
      </c>
      <c r="E19" s="42">
        <v>379</v>
      </c>
      <c r="F19" s="42" t="s">
        <v>267</v>
      </c>
      <c r="G19" s="42" t="s">
        <v>240</v>
      </c>
      <c r="H19" s="37"/>
      <c r="I19" s="37">
        <v>205279</v>
      </c>
      <c r="J19" s="300">
        <f t="shared" ref="J19:J26" si="0">+J18+H19-I19</f>
        <v>2465048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>
      <c r="A20" s="35"/>
      <c r="B20" s="41">
        <v>46100</v>
      </c>
      <c r="C20" s="42">
        <v>4</v>
      </c>
      <c r="D20" s="42">
        <v>144</v>
      </c>
      <c r="E20" s="42">
        <v>379</v>
      </c>
      <c r="F20" s="42" t="s">
        <v>279</v>
      </c>
      <c r="G20" s="42" t="s">
        <v>271</v>
      </c>
      <c r="H20" s="37"/>
      <c r="I20" s="37">
        <v>207839</v>
      </c>
      <c r="J20" s="300">
        <f t="shared" si="0"/>
        <v>2257209</v>
      </c>
      <c r="K20" s="35"/>
      <c r="L20" s="35"/>
      <c r="M20" s="194"/>
      <c r="N20" s="35"/>
      <c r="O20" s="35"/>
      <c r="P20" s="35"/>
      <c r="Q20" s="35"/>
      <c r="R20" s="35"/>
      <c r="S20" s="35"/>
      <c r="T20" s="35"/>
      <c r="U20" s="35"/>
    </row>
    <row r="21" spans="1:21">
      <c r="A21" s="35"/>
      <c r="B21" s="41">
        <v>46104</v>
      </c>
      <c r="C21" s="42">
        <v>5</v>
      </c>
      <c r="D21" s="42">
        <v>156</v>
      </c>
      <c r="E21" s="42">
        <v>411</v>
      </c>
      <c r="F21" s="42" t="s">
        <v>295</v>
      </c>
      <c r="G21" s="42" t="s">
        <v>261</v>
      </c>
      <c r="H21" s="37"/>
      <c r="I21" s="37">
        <v>180900</v>
      </c>
      <c r="J21" s="300">
        <f t="shared" si="0"/>
        <v>2076309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>
      <c r="A22" s="35"/>
      <c r="B22" s="41"/>
      <c r="C22" s="42"/>
      <c r="D22" s="42"/>
      <c r="E22" s="18"/>
      <c r="F22" s="42"/>
      <c r="G22" s="42"/>
      <c r="H22" s="37"/>
      <c r="I22" s="37"/>
      <c r="J22" s="300">
        <f t="shared" si="0"/>
        <v>2076309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>
      <c r="A23" s="35"/>
      <c r="B23" s="41"/>
      <c r="C23" s="42"/>
      <c r="D23" s="42"/>
      <c r="E23" s="42"/>
      <c r="F23" s="42"/>
      <c r="G23" s="42"/>
      <c r="H23" s="37"/>
      <c r="I23" s="37"/>
      <c r="J23" s="300">
        <f t="shared" si="0"/>
        <v>2076309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>
      <c r="A24" s="35"/>
      <c r="B24" s="41"/>
      <c r="C24" s="42"/>
      <c r="D24" s="42"/>
      <c r="E24" s="42"/>
      <c r="F24" s="42"/>
      <c r="G24" s="42"/>
      <c r="H24" s="37"/>
      <c r="I24" s="37"/>
      <c r="J24" s="300">
        <f t="shared" si="0"/>
        <v>2076309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>
      <c r="A25" s="35"/>
      <c r="B25" s="41"/>
      <c r="C25" s="42"/>
      <c r="D25" s="42"/>
      <c r="E25" s="18"/>
      <c r="F25" s="42"/>
      <c r="G25" s="42"/>
      <c r="H25" s="37"/>
      <c r="I25" s="37"/>
      <c r="J25" s="300">
        <f t="shared" si="0"/>
        <v>2076309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>
      <c r="A26" s="35"/>
      <c r="B26" s="41"/>
      <c r="C26" s="42"/>
      <c r="D26" s="42"/>
      <c r="E26" s="42"/>
      <c r="F26" s="42"/>
      <c r="G26" s="42"/>
      <c r="H26" s="37"/>
      <c r="I26" s="37"/>
      <c r="J26" s="300">
        <f t="shared" si="0"/>
        <v>2076309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s="49" customFormat="1">
      <c r="A27" s="48"/>
      <c r="B27" s="330" t="s">
        <v>69</v>
      </c>
      <c r="C27" s="331"/>
      <c r="D27" s="331"/>
      <c r="E27" s="331"/>
      <c r="F27" s="331"/>
      <c r="G27" s="331"/>
      <c r="H27" s="331"/>
      <c r="I27" s="331"/>
      <c r="J27" s="332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</row>
    <row r="28" spans="1:21">
      <c r="A28" s="35"/>
      <c r="B28" s="41"/>
      <c r="C28" s="42"/>
      <c r="D28" s="42"/>
      <c r="E28" s="42"/>
      <c r="F28" s="42" t="s">
        <v>171</v>
      </c>
      <c r="G28" s="42" t="s">
        <v>171</v>
      </c>
      <c r="H28" s="37">
        <f>SUBVENCION!I16+SUBVENCION!J16</f>
        <v>996191</v>
      </c>
      <c r="I28" s="37"/>
      <c r="J28" s="300">
        <f>+J26+H28-I28</f>
        <v>3072500</v>
      </c>
      <c r="K28" s="35" t="s">
        <v>69</v>
      </c>
      <c r="L28" s="97" t="s">
        <v>5</v>
      </c>
      <c r="M28" s="97" t="s">
        <v>214</v>
      </c>
      <c r="N28" s="97" t="s">
        <v>212</v>
      </c>
      <c r="O28" s="97" t="s">
        <v>213</v>
      </c>
      <c r="P28" s="97" t="s">
        <v>7</v>
      </c>
      <c r="Q28" s="35"/>
      <c r="R28" s="35"/>
      <c r="S28" s="35"/>
      <c r="T28" s="35"/>
      <c r="U28" s="35"/>
    </row>
    <row r="29" spans="1:21">
      <c r="A29" s="35"/>
      <c r="B29" s="41"/>
      <c r="C29" s="42"/>
      <c r="D29" s="42"/>
      <c r="E29" s="42"/>
      <c r="F29" s="42" t="s">
        <v>199</v>
      </c>
      <c r="G29" s="42" t="s">
        <v>199</v>
      </c>
      <c r="H29" s="37"/>
      <c r="I29" s="37">
        <v>81664</v>
      </c>
      <c r="J29" s="300">
        <f>+J28+H29-I29</f>
        <v>2990836</v>
      </c>
      <c r="K29" s="35"/>
      <c r="L29" s="37">
        <f>+H28</f>
        <v>996191</v>
      </c>
      <c r="M29" s="51">
        <f>+L29*10%</f>
        <v>99619.1</v>
      </c>
      <c r="N29" s="51">
        <f>+I29</f>
        <v>81664</v>
      </c>
      <c r="O29" s="51">
        <f>+I30+I31+I32+I33+I34+I35+I36+I37</f>
        <v>1568871</v>
      </c>
      <c r="P29" s="303">
        <f>+L29-M29-N29-O29</f>
        <v>-753963.1</v>
      </c>
      <c r="Q29" s="35"/>
      <c r="R29" s="35"/>
      <c r="S29" s="35"/>
      <c r="T29" s="35"/>
      <c r="U29" s="35"/>
    </row>
    <row r="30" spans="1:21">
      <c r="A30" s="35"/>
      <c r="B30" s="41">
        <v>46118</v>
      </c>
      <c r="C30" s="42">
        <v>6</v>
      </c>
      <c r="D30" s="42">
        <v>254</v>
      </c>
      <c r="E30" s="42">
        <v>575</v>
      </c>
      <c r="F30" s="42" t="s">
        <v>267</v>
      </c>
      <c r="G30" s="45" t="s">
        <v>240</v>
      </c>
      <c r="H30" s="37"/>
      <c r="I30" s="37">
        <v>206630</v>
      </c>
      <c r="J30" s="300">
        <f t="shared" ref="J30:J37" si="1">+J29+H30-I30</f>
        <v>2784206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>
      <c r="A31" s="35"/>
      <c r="B31" s="41">
        <v>46120</v>
      </c>
      <c r="C31" s="42">
        <v>8</v>
      </c>
      <c r="D31" s="42">
        <v>255</v>
      </c>
      <c r="E31" s="42">
        <v>606</v>
      </c>
      <c r="F31" s="42" t="s">
        <v>267</v>
      </c>
      <c r="G31" s="45" t="s">
        <v>384</v>
      </c>
      <c r="H31" s="37"/>
      <c r="I31" s="37">
        <v>199000</v>
      </c>
      <c r="J31" s="300">
        <f t="shared" si="1"/>
        <v>2585206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>
      <c r="A32" s="35"/>
      <c r="B32" s="41">
        <v>46132</v>
      </c>
      <c r="C32" s="42">
        <v>9</v>
      </c>
      <c r="D32" s="42">
        <v>331</v>
      </c>
      <c r="E32" s="42">
        <v>568</v>
      </c>
      <c r="F32" s="18" t="s">
        <v>293</v>
      </c>
      <c r="G32" s="10" t="s">
        <v>404</v>
      </c>
      <c r="H32" s="37"/>
      <c r="I32" s="37">
        <v>202895</v>
      </c>
      <c r="J32" s="300">
        <f t="shared" si="1"/>
        <v>2382311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>
      <c r="A33" s="35"/>
      <c r="B33" s="41">
        <v>46136</v>
      </c>
      <c r="C33" s="42">
        <v>15</v>
      </c>
      <c r="D33" s="42">
        <v>341</v>
      </c>
      <c r="E33" s="42">
        <v>644</v>
      </c>
      <c r="F33" s="18" t="s">
        <v>293</v>
      </c>
      <c r="G33" s="10" t="s">
        <v>405</v>
      </c>
      <c r="H33" s="37"/>
      <c r="I33" s="37">
        <v>201000</v>
      </c>
      <c r="J33" s="300">
        <f t="shared" si="1"/>
        <v>2181311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>
      <c r="A34" s="35"/>
      <c r="B34" s="41">
        <v>46136</v>
      </c>
      <c r="C34" s="42">
        <v>16</v>
      </c>
      <c r="D34" s="42">
        <v>342</v>
      </c>
      <c r="E34" s="42">
        <v>703</v>
      </c>
      <c r="F34" s="42" t="s">
        <v>242</v>
      </c>
      <c r="G34" s="42" t="s">
        <v>242</v>
      </c>
      <c r="H34" s="37"/>
      <c r="I34" s="37">
        <v>150000</v>
      </c>
      <c r="J34" s="300">
        <f t="shared" si="1"/>
        <v>2031311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>
      <c r="A35" s="35"/>
      <c r="B35" s="41">
        <v>46135</v>
      </c>
      <c r="C35" s="42">
        <v>13</v>
      </c>
      <c r="D35" s="42">
        <v>340</v>
      </c>
      <c r="E35" s="42">
        <v>750</v>
      </c>
      <c r="F35" s="42" t="s">
        <v>267</v>
      </c>
      <c r="G35" s="45" t="s">
        <v>406</v>
      </c>
      <c r="H35" s="37"/>
      <c r="I35" s="37">
        <v>205632</v>
      </c>
      <c r="J35" s="300">
        <f t="shared" si="1"/>
        <v>1825679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>
      <c r="A36" s="35"/>
      <c r="B36" s="41">
        <v>46140</v>
      </c>
      <c r="C36" s="42">
        <v>21</v>
      </c>
      <c r="D36" s="42">
        <v>364</v>
      </c>
      <c r="E36" s="42">
        <v>706</v>
      </c>
      <c r="F36" s="42" t="s">
        <v>392</v>
      </c>
      <c r="G36" s="45" t="s">
        <v>423</v>
      </c>
      <c r="H36" s="37"/>
      <c r="I36" s="37">
        <v>209000</v>
      </c>
      <c r="J36" s="300">
        <f t="shared" si="1"/>
        <v>1616679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>
      <c r="A37" s="35"/>
      <c r="B37" s="41">
        <v>46136</v>
      </c>
      <c r="C37" s="42">
        <v>18</v>
      </c>
      <c r="D37" s="42">
        <v>359</v>
      </c>
      <c r="E37" s="42">
        <v>755</v>
      </c>
      <c r="F37" s="42" t="s">
        <v>430</v>
      </c>
      <c r="G37" s="45" t="s">
        <v>431</v>
      </c>
      <c r="H37" s="37"/>
      <c r="I37" s="37">
        <v>194714</v>
      </c>
      <c r="J37" s="300">
        <f t="shared" si="1"/>
        <v>1421965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>
      <c r="A38" s="35"/>
      <c r="B38" s="341" t="s">
        <v>120</v>
      </c>
      <c r="C38" s="342"/>
      <c r="D38" s="342"/>
      <c r="E38" s="342"/>
      <c r="F38" s="342"/>
      <c r="G38" s="342"/>
      <c r="H38" s="342"/>
      <c r="I38" s="342"/>
      <c r="J38" s="343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>
      <c r="A39" s="35"/>
      <c r="B39" s="41"/>
      <c r="C39" s="42"/>
      <c r="D39" s="42"/>
      <c r="E39" s="42"/>
      <c r="F39" s="42" t="s">
        <v>171</v>
      </c>
      <c r="G39" s="42" t="s">
        <v>171</v>
      </c>
      <c r="H39" s="37">
        <f>SUBVENCION!K16+SUBVENCION!L16</f>
        <v>963203</v>
      </c>
      <c r="I39" s="37"/>
      <c r="J39" s="300">
        <f>+J37+H39-I39</f>
        <v>2385168</v>
      </c>
      <c r="K39" s="35" t="s">
        <v>120</v>
      </c>
      <c r="L39" s="97" t="s">
        <v>5</v>
      </c>
      <c r="M39" s="97" t="s">
        <v>214</v>
      </c>
      <c r="N39" s="97" t="s">
        <v>212</v>
      </c>
      <c r="O39" s="97" t="s">
        <v>213</v>
      </c>
      <c r="P39" s="97" t="s">
        <v>7</v>
      </c>
      <c r="Q39" s="35"/>
      <c r="R39" s="35"/>
      <c r="S39" s="35"/>
      <c r="T39" s="35"/>
      <c r="U39" s="35"/>
    </row>
    <row r="40" spans="1:21">
      <c r="A40" s="35"/>
      <c r="B40" s="41"/>
      <c r="C40" s="42"/>
      <c r="D40" s="42"/>
      <c r="E40" s="42"/>
      <c r="F40" s="42" t="s">
        <v>199</v>
      </c>
      <c r="G40" s="42" t="s">
        <v>199</v>
      </c>
      <c r="H40" s="37"/>
      <c r="I40" s="37">
        <v>84576</v>
      </c>
      <c r="J40" s="300">
        <f>+J39+H40-I40</f>
        <v>2300592</v>
      </c>
      <c r="K40" s="35"/>
      <c r="L40" s="37">
        <f>+H39</f>
        <v>963203</v>
      </c>
      <c r="M40" s="51">
        <f>+L40*10%</f>
        <v>96320.3</v>
      </c>
      <c r="N40" s="51">
        <f>+I40</f>
        <v>84576</v>
      </c>
      <c r="O40" s="51">
        <f>I41+I42+I43+I44</f>
        <v>808385</v>
      </c>
      <c r="P40" s="303">
        <f>+L40-M40-N40-O40</f>
        <v>-26078.300000000047</v>
      </c>
      <c r="Q40" s="35"/>
      <c r="R40" s="35"/>
      <c r="S40" s="35"/>
      <c r="T40" s="35"/>
      <c r="U40" s="35"/>
    </row>
    <row r="41" spans="1:21">
      <c r="A41" s="35"/>
      <c r="B41" s="41">
        <v>46148</v>
      </c>
      <c r="C41" s="42">
        <v>22</v>
      </c>
      <c r="D41" s="42">
        <v>393</v>
      </c>
      <c r="E41" s="42">
        <v>747</v>
      </c>
      <c r="F41" s="42" t="s">
        <v>242</v>
      </c>
      <c r="G41" s="42" t="s">
        <v>242</v>
      </c>
      <c r="H41" s="37"/>
      <c r="I41" s="37">
        <v>209300</v>
      </c>
      <c r="J41" s="300">
        <f t="shared" ref="J41:J46" si="2">+J40+H41-I41</f>
        <v>2091292</v>
      </c>
      <c r="K41" s="35"/>
      <c r="L41" s="155"/>
      <c r="M41" s="156"/>
      <c r="N41" s="156"/>
      <c r="O41" s="156"/>
      <c r="P41" s="157"/>
      <c r="Q41" s="35"/>
      <c r="R41" s="35"/>
      <c r="S41" s="35"/>
      <c r="T41" s="35"/>
      <c r="U41" s="35"/>
    </row>
    <row r="42" spans="1:21">
      <c r="A42" s="35"/>
      <c r="B42" s="41">
        <v>46155</v>
      </c>
      <c r="C42" s="42">
        <v>23</v>
      </c>
      <c r="D42" s="42">
        <v>475</v>
      </c>
      <c r="E42" s="42">
        <v>822</v>
      </c>
      <c r="F42" s="42" t="s">
        <v>449</v>
      </c>
      <c r="G42" s="42" t="s">
        <v>219</v>
      </c>
      <c r="H42" s="37"/>
      <c r="I42" s="37">
        <v>195000</v>
      </c>
      <c r="J42" s="300">
        <f t="shared" si="2"/>
        <v>1896292</v>
      </c>
      <c r="K42" s="35"/>
      <c r="L42" s="155"/>
      <c r="M42" s="156"/>
      <c r="N42" s="156"/>
      <c r="O42" s="156"/>
      <c r="P42" s="157"/>
      <c r="Q42" s="35"/>
      <c r="R42" s="35"/>
      <c r="S42" s="35"/>
      <c r="T42" s="35"/>
      <c r="U42" s="35"/>
    </row>
    <row r="43" spans="1:21" s="7" customFormat="1">
      <c r="A43" s="5"/>
      <c r="B43" s="19">
        <v>46156</v>
      </c>
      <c r="C43" s="18">
        <v>26</v>
      </c>
      <c r="D43" s="18">
        <v>476</v>
      </c>
      <c r="E43" s="18">
        <v>830</v>
      </c>
      <c r="F43" s="18" t="s">
        <v>293</v>
      </c>
      <c r="G43" s="18" t="s">
        <v>405</v>
      </c>
      <c r="H43" s="12"/>
      <c r="I43" s="12">
        <v>204085</v>
      </c>
      <c r="J43" s="300">
        <f t="shared" si="2"/>
        <v>1692207</v>
      </c>
      <c r="K43" s="5"/>
      <c r="L43" s="278"/>
      <c r="M43" s="279"/>
      <c r="N43" s="279"/>
      <c r="O43" s="279"/>
      <c r="P43" s="280"/>
      <c r="Q43" s="5"/>
      <c r="R43" s="5"/>
      <c r="S43" s="5"/>
      <c r="T43" s="5"/>
      <c r="U43" s="5"/>
    </row>
    <row r="44" spans="1:21" s="7" customFormat="1">
      <c r="A44" s="5"/>
      <c r="B44" s="19">
        <v>46155</v>
      </c>
      <c r="C44" s="18">
        <v>24</v>
      </c>
      <c r="D44" s="18">
        <v>471</v>
      </c>
      <c r="E44" s="18">
        <v>824</v>
      </c>
      <c r="F44" s="18" t="s">
        <v>242</v>
      </c>
      <c r="G44" s="18" t="s">
        <v>242</v>
      </c>
      <c r="H44" s="12"/>
      <c r="I44" s="12">
        <v>200000</v>
      </c>
      <c r="J44" s="300">
        <f t="shared" si="2"/>
        <v>1492207</v>
      </c>
      <c r="K44" s="5"/>
      <c r="L44" s="278"/>
      <c r="M44" s="279"/>
      <c r="N44" s="279"/>
      <c r="O44" s="279"/>
      <c r="P44" s="280"/>
      <c r="Q44" s="5"/>
      <c r="R44" s="5"/>
      <c r="S44" s="5"/>
      <c r="T44" s="5"/>
      <c r="U44" s="5"/>
    </row>
    <row r="45" spans="1:21" s="7" customFormat="1">
      <c r="A45" s="5"/>
      <c r="B45" s="72"/>
      <c r="C45" s="72"/>
      <c r="D45" s="72"/>
      <c r="E45" s="72"/>
      <c r="F45" s="72"/>
      <c r="G45" s="72"/>
      <c r="H45" s="72"/>
      <c r="I45" s="72"/>
      <c r="J45" s="300">
        <f t="shared" si="2"/>
        <v>1492207</v>
      </c>
      <c r="K45" s="5"/>
      <c r="L45" s="278"/>
      <c r="M45" s="279"/>
      <c r="N45" s="279"/>
      <c r="O45" s="279"/>
      <c r="P45" s="280"/>
      <c r="Q45" s="5"/>
      <c r="R45" s="5"/>
      <c r="S45" s="5"/>
      <c r="T45" s="5"/>
      <c r="U45" s="5"/>
    </row>
    <row r="46" spans="1:21" s="7" customFormat="1">
      <c r="A46" s="5"/>
      <c r="B46" s="72"/>
      <c r="C46" s="72"/>
      <c r="D46" s="72"/>
      <c r="E46" s="72"/>
      <c r="F46" s="72"/>
      <c r="G46" s="72"/>
      <c r="H46" s="72"/>
      <c r="I46" s="72"/>
      <c r="J46" s="300">
        <f t="shared" si="2"/>
        <v>1492207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>
      <c r="B47" s="341" t="s">
        <v>129</v>
      </c>
      <c r="C47" s="342"/>
      <c r="D47" s="342"/>
      <c r="E47" s="342"/>
      <c r="F47" s="342"/>
      <c r="G47" s="342"/>
      <c r="H47" s="342"/>
      <c r="I47" s="342"/>
      <c r="J47" s="343"/>
    </row>
    <row r="48" spans="1:21">
      <c r="B48" s="41"/>
      <c r="C48" s="42"/>
      <c r="D48" s="42"/>
      <c r="E48" s="42"/>
      <c r="F48" s="42" t="s">
        <v>171</v>
      </c>
      <c r="G48" s="42" t="s">
        <v>171</v>
      </c>
      <c r="H48" s="12">
        <f>SUBVENCION!M16+SUBVENCION!N16</f>
        <v>852217</v>
      </c>
      <c r="I48" s="37"/>
      <c r="J48" s="300">
        <f>+J46+H48-I48</f>
        <v>2344424</v>
      </c>
      <c r="K48" s="44" t="s">
        <v>129</v>
      </c>
      <c r="L48" s="97" t="s">
        <v>5</v>
      </c>
      <c r="M48" s="97" t="s">
        <v>214</v>
      </c>
      <c r="N48" s="97" t="s">
        <v>212</v>
      </c>
      <c r="O48" s="97" t="s">
        <v>213</v>
      </c>
      <c r="P48" s="97" t="s">
        <v>7</v>
      </c>
    </row>
    <row r="49" spans="2:16">
      <c r="B49" s="41"/>
      <c r="C49" s="42"/>
      <c r="D49" s="42"/>
      <c r="E49" s="42"/>
      <c r="F49" s="42" t="s">
        <v>199</v>
      </c>
      <c r="G49" s="42" t="s">
        <v>199</v>
      </c>
      <c r="H49" s="37"/>
      <c r="I49" s="37">
        <v>85760</v>
      </c>
      <c r="J49" s="300">
        <f>+J48+H49-I49</f>
        <v>2258664</v>
      </c>
      <c r="L49" s="37">
        <f>+H48</f>
        <v>852217</v>
      </c>
      <c r="M49" s="51">
        <f>+L49*10%</f>
        <v>85221.700000000012</v>
      </c>
      <c r="N49" s="51">
        <f>+I49</f>
        <v>85760</v>
      </c>
      <c r="O49" s="51">
        <f>I50+I51</f>
        <v>295918</v>
      </c>
      <c r="P49" s="303">
        <f>+L49-M49-N49-O49</f>
        <v>385317.30000000005</v>
      </c>
    </row>
    <row r="50" spans="2:16" s="7" customFormat="1">
      <c r="B50" s="19">
        <v>46188</v>
      </c>
      <c r="C50" s="18">
        <v>30</v>
      </c>
      <c r="D50" s="18">
        <v>569</v>
      </c>
      <c r="E50" s="42"/>
      <c r="F50" s="18" t="s">
        <v>242</v>
      </c>
      <c r="G50" s="18" t="s">
        <v>242</v>
      </c>
      <c r="H50" s="12"/>
      <c r="I50" s="12">
        <v>91000</v>
      </c>
      <c r="J50" s="300">
        <f t="shared" ref="J50:J51" si="3">+J49+H50-I50</f>
        <v>2167664</v>
      </c>
      <c r="L50" s="278"/>
      <c r="M50" s="279"/>
      <c r="N50" s="279"/>
      <c r="O50" s="279"/>
      <c r="P50" s="280"/>
    </row>
    <row r="51" spans="2:16" s="7" customFormat="1">
      <c r="B51" s="19">
        <v>46188</v>
      </c>
      <c r="C51" s="18">
        <v>31</v>
      </c>
      <c r="D51" s="18">
        <v>594</v>
      </c>
      <c r="E51" s="18">
        <v>990</v>
      </c>
      <c r="F51" s="18" t="s">
        <v>293</v>
      </c>
      <c r="G51" s="10" t="s">
        <v>404</v>
      </c>
      <c r="H51" s="12"/>
      <c r="I51" s="12">
        <v>204918</v>
      </c>
      <c r="J51" s="300">
        <f t="shared" si="3"/>
        <v>1962746</v>
      </c>
    </row>
    <row r="52" spans="2:16">
      <c r="B52" s="341" t="s">
        <v>65</v>
      </c>
      <c r="C52" s="342"/>
      <c r="D52" s="342"/>
      <c r="E52" s="342"/>
      <c r="F52" s="342"/>
      <c r="G52" s="342"/>
      <c r="H52" s="342"/>
      <c r="I52" s="342"/>
      <c r="J52" s="343"/>
    </row>
    <row r="53" spans="2:16">
      <c r="B53" s="41"/>
      <c r="C53" s="42"/>
      <c r="D53" s="42"/>
      <c r="E53" s="42"/>
      <c r="F53" s="42" t="s">
        <v>171</v>
      </c>
      <c r="G53" s="42" t="s">
        <v>171</v>
      </c>
      <c r="H53" s="37">
        <f>+SUBVENCION!O16+SUBVENCION!P16</f>
        <v>943228</v>
      </c>
      <c r="I53" s="37"/>
      <c r="J53" s="300">
        <f>+J51+H53-I53</f>
        <v>2905974</v>
      </c>
      <c r="K53" s="44" t="s">
        <v>65</v>
      </c>
      <c r="L53" s="97" t="s">
        <v>5</v>
      </c>
      <c r="M53" s="97" t="s">
        <v>214</v>
      </c>
      <c r="N53" s="97" t="s">
        <v>212</v>
      </c>
      <c r="O53" s="97" t="s">
        <v>213</v>
      </c>
      <c r="P53" s="97" t="s">
        <v>7</v>
      </c>
    </row>
    <row r="54" spans="2:16">
      <c r="B54" s="41"/>
      <c r="C54" s="42"/>
      <c r="D54" s="42"/>
      <c r="E54" s="42"/>
      <c r="F54" s="42" t="s">
        <v>199</v>
      </c>
      <c r="G54" s="42" t="s">
        <v>199</v>
      </c>
      <c r="H54" s="37"/>
      <c r="I54" s="37">
        <v>82807</v>
      </c>
      <c r="J54" s="300">
        <f>+J53+H54-I54</f>
        <v>2823167</v>
      </c>
      <c r="L54" s="37">
        <f>+H53</f>
        <v>943228</v>
      </c>
      <c r="M54" s="51">
        <f>+L54*10%</f>
        <v>94322.8</v>
      </c>
      <c r="N54" s="51">
        <f>+I54</f>
        <v>82807</v>
      </c>
      <c r="O54" s="51">
        <f>I55+I56</f>
        <v>523562</v>
      </c>
      <c r="P54" s="303">
        <f>+L54-M54-N54-O54</f>
        <v>242536.19999999995</v>
      </c>
    </row>
    <row r="55" spans="2:16">
      <c r="B55" s="41">
        <v>46232</v>
      </c>
      <c r="C55" s="42">
        <v>35</v>
      </c>
      <c r="D55" s="42">
        <v>745</v>
      </c>
      <c r="E55" s="42">
        <v>1240</v>
      </c>
      <c r="F55" s="42" t="s">
        <v>267</v>
      </c>
      <c r="G55" s="42" t="s">
        <v>604</v>
      </c>
      <c r="H55" s="37"/>
      <c r="I55" s="37">
        <v>209100</v>
      </c>
      <c r="J55" s="300">
        <f t="shared" ref="J55:J56" si="4">+J54+H55-I55</f>
        <v>2614067</v>
      </c>
      <c r="L55" s="155"/>
      <c r="M55" s="156"/>
      <c r="N55" s="156"/>
      <c r="O55" s="156"/>
      <c r="P55" s="157"/>
    </row>
    <row r="56" spans="2:16">
      <c r="B56" s="41">
        <v>46226</v>
      </c>
      <c r="C56" s="42" t="s">
        <v>702</v>
      </c>
      <c r="D56" s="42" t="s">
        <v>658</v>
      </c>
      <c r="E56" s="79"/>
      <c r="F56" s="42" t="s">
        <v>267</v>
      </c>
      <c r="G56" s="42" t="s">
        <v>659</v>
      </c>
      <c r="H56" s="37"/>
      <c r="I56" s="37">
        <v>314462</v>
      </c>
      <c r="J56" s="300">
        <f t="shared" si="4"/>
        <v>2299605</v>
      </c>
      <c r="L56" s="155"/>
      <c r="M56" s="156"/>
      <c r="N56" s="156"/>
      <c r="O56" s="156"/>
      <c r="P56" s="157"/>
    </row>
    <row r="57" spans="2:16">
      <c r="B57" s="41"/>
      <c r="C57" s="42"/>
      <c r="D57" s="42"/>
      <c r="E57" s="42"/>
      <c r="F57" s="42"/>
      <c r="G57" s="42"/>
      <c r="H57" s="37"/>
      <c r="I57" s="37"/>
      <c r="J57" s="300">
        <f>+J56+H57-I57</f>
        <v>2299605</v>
      </c>
      <c r="L57" s="155"/>
      <c r="M57" s="156"/>
      <c r="N57" s="156"/>
      <c r="O57" s="156"/>
      <c r="P57" s="157"/>
    </row>
    <row r="58" spans="2:16">
      <c r="B58" s="320" t="s">
        <v>130</v>
      </c>
      <c r="C58" s="321"/>
      <c r="D58" s="321"/>
      <c r="E58" s="321"/>
      <c r="F58" s="321"/>
      <c r="G58" s="321"/>
      <c r="H58" s="321"/>
      <c r="I58" s="321"/>
      <c r="J58" s="322"/>
    </row>
    <row r="59" spans="2:16">
      <c r="B59" s="41"/>
      <c r="C59" s="42"/>
      <c r="D59" s="42"/>
      <c r="E59" s="42"/>
      <c r="F59" s="42" t="s">
        <v>171</v>
      </c>
      <c r="G59" s="42" t="s">
        <v>171</v>
      </c>
      <c r="H59" s="37">
        <f>+SUBVENCION!Q16+SUBVENCION!R16</f>
        <v>943228</v>
      </c>
      <c r="I59" s="37"/>
      <c r="J59" s="300">
        <f>+J57+H59-I59</f>
        <v>3242833</v>
      </c>
      <c r="K59" s="44" t="s">
        <v>130</v>
      </c>
      <c r="L59" s="97" t="s">
        <v>5</v>
      </c>
      <c r="M59" s="97" t="s">
        <v>214</v>
      </c>
      <c r="N59" s="97" t="s">
        <v>212</v>
      </c>
      <c r="O59" s="97" t="s">
        <v>213</v>
      </c>
      <c r="P59" s="97" t="s">
        <v>7</v>
      </c>
    </row>
    <row r="60" spans="2:16">
      <c r="B60" s="41"/>
      <c r="C60" s="42"/>
      <c r="D60" s="42"/>
      <c r="E60" s="42"/>
      <c r="F60" s="42" t="s">
        <v>199</v>
      </c>
      <c r="G60" s="42" t="s">
        <v>199</v>
      </c>
      <c r="H60" s="37"/>
      <c r="I60" s="37">
        <v>83510</v>
      </c>
      <c r="J60" s="300">
        <f>+J59+H60-I60</f>
        <v>3159323</v>
      </c>
      <c r="L60" s="37">
        <f>+H59</f>
        <v>943228</v>
      </c>
      <c r="M60" s="51">
        <f>+L60*10%</f>
        <v>94322.8</v>
      </c>
      <c r="N60" s="51">
        <f>+I60</f>
        <v>83510</v>
      </c>
      <c r="O60" s="51">
        <f>+I61+I62+I63+I64</f>
        <v>800358</v>
      </c>
      <c r="P60" s="303">
        <f>+L60-M60-N60-O60</f>
        <v>-34962.800000000047</v>
      </c>
    </row>
    <row r="61" spans="2:16">
      <c r="B61" s="41">
        <v>46244</v>
      </c>
      <c r="C61" s="42">
        <v>36</v>
      </c>
      <c r="D61" s="42">
        <v>783</v>
      </c>
      <c r="E61" s="18"/>
      <c r="F61" s="42" t="s">
        <v>392</v>
      </c>
      <c r="G61" s="45" t="s">
        <v>619</v>
      </c>
      <c r="H61" s="37"/>
      <c r="I61" s="37">
        <v>176446</v>
      </c>
      <c r="J61" s="300">
        <f t="shared" ref="J61:J65" si="5">+J60+H61-I61</f>
        <v>2982877</v>
      </c>
    </row>
    <row r="62" spans="2:16">
      <c r="B62" s="41">
        <v>46245</v>
      </c>
      <c r="C62" s="42">
        <v>38</v>
      </c>
      <c r="D62" s="42">
        <v>786</v>
      </c>
      <c r="E62" s="42">
        <v>1371</v>
      </c>
      <c r="F62" s="42" t="s">
        <v>620</v>
      </c>
      <c r="G62" s="45" t="s">
        <v>620</v>
      </c>
      <c r="H62" s="37"/>
      <c r="I62" s="37">
        <v>209030</v>
      </c>
      <c r="J62" s="300">
        <f t="shared" si="5"/>
        <v>2773847</v>
      </c>
    </row>
    <row r="63" spans="2:16">
      <c r="B63" s="41">
        <v>46252</v>
      </c>
      <c r="C63" s="42">
        <v>39</v>
      </c>
      <c r="D63" s="42">
        <v>828</v>
      </c>
      <c r="E63" s="42"/>
      <c r="F63" s="42" t="s">
        <v>392</v>
      </c>
      <c r="G63" s="45" t="s">
        <v>619</v>
      </c>
      <c r="H63" s="37"/>
      <c r="I63" s="37">
        <v>209964</v>
      </c>
      <c r="J63" s="300">
        <f t="shared" si="5"/>
        <v>2563883</v>
      </c>
    </row>
    <row r="64" spans="2:16">
      <c r="B64" s="41">
        <v>46252</v>
      </c>
      <c r="C64" s="42">
        <v>40</v>
      </c>
      <c r="D64" s="42">
        <v>829</v>
      </c>
      <c r="E64" s="42">
        <v>1372</v>
      </c>
      <c r="F64" s="42" t="s">
        <v>293</v>
      </c>
      <c r="G64" s="45" t="s">
        <v>293</v>
      </c>
      <c r="H64" s="37"/>
      <c r="I64" s="37">
        <v>204918</v>
      </c>
      <c r="J64" s="300">
        <f t="shared" si="5"/>
        <v>2358965</v>
      </c>
    </row>
    <row r="65" spans="2:16">
      <c r="B65" s="41"/>
      <c r="C65" s="42"/>
      <c r="D65" s="42"/>
      <c r="E65" s="42"/>
      <c r="F65" s="42"/>
      <c r="G65" s="45"/>
      <c r="H65" s="37"/>
      <c r="I65" s="37"/>
      <c r="J65" s="300">
        <f t="shared" si="5"/>
        <v>2358965</v>
      </c>
    </row>
    <row r="66" spans="2:16">
      <c r="B66" s="320" t="s">
        <v>131</v>
      </c>
      <c r="C66" s="321"/>
      <c r="D66" s="321"/>
      <c r="E66" s="321"/>
      <c r="F66" s="321"/>
      <c r="G66" s="321"/>
      <c r="H66" s="321"/>
      <c r="I66" s="321"/>
      <c r="J66" s="322"/>
    </row>
    <row r="67" spans="2:16">
      <c r="B67" s="41"/>
      <c r="C67" s="42"/>
      <c r="D67" s="42"/>
      <c r="E67" s="42"/>
      <c r="F67" s="42" t="s">
        <v>171</v>
      </c>
      <c r="G67" s="42" t="s">
        <v>171</v>
      </c>
      <c r="H67" s="37">
        <f>+SUBVENCION!S16+SUBVENCION!T16</f>
        <v>942429</v>
      </c>
      <c r="I67" s="37"/>
      <c r="J67" s="300">
        <f>+J65+H67-I67</f>
        <v>3301394</v>
      </c>
      <c r="K67" s="44" t="s">
        <v>131</v>
      </c>
      <c r="L67" s="97" t="s">
        <v>5</v>
      </c>
      <c r="M67" s="97" t="s">
        <v>214</v>
      </c>
      <c r="N67" s="97" t="s">
        <v>212</v>
      </c>
      <c r="O67" s="97" t="s">
        <v>213</v>
      </c>
      <c r="P67" s="97" t="s">
        <v>7</v>
      </c>
    </row>
    <row r="68" spans="2:16">
      <c r="B68" s="41"/>
      <c r="C68" s="42"/>
      <c r="D68" s="42"/>
      <c r="E68" s="42"/>
      <c r="F68" s="42" t="s">
        <v>199</v>
      </c>
      <c r="G68" s="42" t="s">
        <v>199</v>
      </c>
      <c r="H68" s="37"/>
      <c r="I68" s="37">
        <v>83512</v>
      </c>
      <c r="J68" s="300">
        <f>+J67+H68-I68</f>
        <v>3217882</v>
      </c>
      <c r="L68" s="37">
        <f>+H67</f>
        <v>942429</v>
      </c>
      <c r="M68" s="51">
        <f>+L68*10%</f>
        <v>94242.900000000009</v>
      </c>
      <c r="N68" s="51">
        <f>+I68</f>
        <v>83512</v>
      </c>
      <c r="O68" s="51">
        <f>SUM(I69:I72)</f>
        <v>412160</v>
      </c>
      <c r="P68" s="303">
        <f>+L68-M68-N68-O68</f>
        <v>352514.1</v>
      </c>
    </row>
    <row r="69" spans="2:16">
      <c r="B69" s="41">
        <v>46275</v>
      </c>
      <c r="C69" s="42">
        <v>43</v>
      </c>
      <c r="D69" s="42">
        <v>949</v>
      </c>
      <c r="E69" s="42"/>
      <c r="F69" s="42" t="s">
        <v>242</v>
      </c>
      <c r="G69" s="42" t="s">
        <v>242</v>
      </c>
      <c r="H69" s="37"/>
      <c r="I69" s="37">
        <v>205530</v>
      </c>
      <c r="J69" s="300">
        <f t="shared" ref="J69:J72" si="6">+J68+H69-I69</f>
        <v>3012352</v>
      </c>
      <c r="L69" s="155"/>
      <c r="M69" s="156"/>
      <c r="N69" s="156"/>
      <c r="O69" s="156"/>
      <c r="P69" s="157"/>
    </row>
    <row r="70" spans="2:16">
      <c r="B70" s="41">
        <v>46286</v>
      </c>
      <c r="C70" s="42">
        <v>46</v>
      </c>
      <c r="D70" s="42">
        <v>989</v>
      </c>
      <c r="E70" s="18"/>
      <c r="F70" s="42" t="s">
        <v>267</v>
      </c>
      <c r="G70" s="42" t="s">
        <v>516</v>
      </c>
      <c r="H70" s="37"/>
      <c r="I70" s="37">
        <v>206630</v>
      </c>
      <c r="J70" s="300">
        <f t="shared" si="6"/>
        <v>2805722</v>
      </c>
      <c r="L70" s="155"/>
      <c r="M70" s="156"/>
      <c r="N70" s="156"/>
      <c r="O70" s="156"/>
      <c r="P70" s="157"/>
    </row>
    <row r="71" spans="2:16">
      <c r="B71" s="41"/>
      <c r="C71" s="42"/>
      <c r="D71" s="42"/>
      <c r="E71" s="42"/>
      <c r="F71" s="42"/>
      <c r="G71" s="45"/>
      <c r="H71" s="37"/>
      <c r="I71" s="37"/>
      <c r="J71" s="300">
        <f t="shared" si="6"/>
        <v>2805722</v>
      </c>
    </row>
    <row r="72" spans="2:16">
      <c r="B72" s="41"/>
      <c r="C72" s="42"/>
      <c r="D72" s="42"/>
      <c r="E72" s="42"/>
      <c r="F72" s="42"/>
      <c r="G72" s="45"/>
      <c r="H72" s="37"/>
      <c r="I72" s="37"/>
      <c r="J72" s="300">
        <f t="shared" si="6"/>
        <v>2805722</v>
      </c>
    </row>
    <row r="73" spans="2:16">
      <c r="B73" s="344" t="s">
        <v>132</v>
      </c>
      <c r="C73" s="345"/>
      <c r="D73" s="345"/>
      <c r="E73" s="345"/>
      <c r="F73" s="345"/>
      <c r="G73" s="345"/>
      <c r="H73" s="345"/>
      <c r="I73" s="345"/>
      <c r="J73" s="346"/>
    </row>
    <row r="74" spans="2:16">
      <c r="B74" s="19"/>
      <c r="C74" s="18"/>
      <c r="D74" s="18"/>
      <c r="E74" s="18"/>
      <c r="F74" s="18" t="s">
        <v>171</v>
      </c>
      <c r="G74" s="18" t="s">
        <v>171</v>
      </c>
      <c r="H74" s="12">
        <f>+SUBVENCION!U16+SUBVENCION!V16</f>
        <v>0</v>
      </c>
      <c r="I74" s="12"/>
      <c r="J74" s="300">
        <f>+J72+H74-I74</f>
        <v>2805722</v>
      </c>
      <c r="K74" s="44" t="s">
        <v>132</v>
      </c>
      <c r="L74" s="97" t="s">
        <v>5</v>
      </c>
      <c r="M74" s="97" t="s">
        <v>214</v>
      </c>
      <c r="N74" s="97" t="s">
        <v>212</v>
      </c>
      <c r="O74" s="97" t="s">
        <v>213</v>
      </c>
      <c r="P74" s="97" t="s">
        <v>7</v>
      </c>
    </row>
    <row r="75" spans="2:16">
      <c r="B75" s="19"/>
      <c r="C75" s="18"/>
      <c r="D75" s="18"/>
      <c r="E75" s="18"/>
      <c r="F75" s="18" t="s">
        <v>199</v>
      </c>
      <c r="G75" s="18" t="s">
        <v>199</v>
      </c>
      <c r="H75" s="12"/>
      <c r="I75" s="12"/>
      <c r="J75" s="300">
        <f>+J74+H75-I75</f>
        <v>2805722</v>
      </c>
      <c r="L75" s="37">
        <f>+H74</f>
        <v>0</v>
      </c>
      <c r="M75" s="51">
        <f>+L75*10%</f>
        <v>0</v>
      </c>
      <c r="N75" s="51">
        <f>+I75</f>
        <v>0</v>
      </c>
      <c r="O75" s="51">
        <f>SUM(I76:I81)</f>
        <v>0</v>
      </c>
      <c r="P75" s="303">
        <f>+L75-M75-N75-O75</f>
        <v>0</v>
      </c>
    </row>
    <row r="76" spans="2:16">
      <c r="B76" s="19"/>
      <c r="C76" s="18"/>
      <c r="D76" s="18"/>
      <c r="E76" s="18"/>
      <c r="F76" s="18"/>
      <c r="G76" s="10"/>
      <c r="H76" s="12"/>
      <c r="I76" s="12"/>
      <c r="J76" s="300">
        <f t="shared" ref="J76:J103" si="7">+J75+H76-I76</f>
        <v>2805722</v>
      </c>
    </row>
    <row r="77" spans="2:16">
      <c r="B77" s="19"/>
      <c r="C77" s="18"/>
      <c r="D77" s="18"/>
      <c r="E77" s="18"/>
      <c r="F77" s="18"/>
      <c r="G77" s="18"/>
      <c r="H77" s="12"/>
      <c r="I77" s="12"/>
      <c r="J77" s="300">
        <f t="shared" si="7"/>
        <v>2805722</v>
      </c>
    </row>
    <row r="78" spans="2:16">
      <c r="B78" s="19"/>
      <c r="C78" s="18"/>
      <c r="D78" s="18"/>
      <c r="E78" s="18"/>
      <c r="F78" s="18"/>
      <c r="G78" s="18"/>
      <c r="H78" s="12"/>
      <c r="I78" s="12"/>
      <c r="J78" s="300">
        <f t="shared" si="7"/>
        <v>2805722</v>
      </c>
    </row>
    <row r="79" spans="2:16">
      <c r="B79" s="19"/>
      <c r="C79" s="18"/>
      <c r="D79" s="18"/>
      <c r="E79" s="18"/>
      <c r="F79" s="18"/>
      <c r="G79" s="18"/>
      <c r="H79" s="12"/>
      <c r="I79" s="12"/>
      <c r="J79" s="300">
        <f t="shared" si="7"/>
        <v>2805722</v>
      </c>
    </row>
    <row r="80" spans="2:16">
      <c r="B80" s="19"/>
      <c r="C80" s="18"/>
      <c r="D80" s="18"/>
      <c r="E80" s="18"/>
      <c r="F80" s="18"/>
      <c r="G80" s="18"/>
      <c r="H80" s="12"/>
      <c r="I80" s="12"/>
      <c r="J80" s="300">
        <f t="shared" si="7"/>
        <v>2805722</v>
      </c>
    </row>
    <row r="81" spans="1:21">
      <c r="B81" s="19"/>
      <c r="C81" s="18"/>
      <c r="D81" s="18"/>
      <c r="E81" s="18"/>
      <c r="F81" s="18"/>
      <c r="G81" s="18"/>
      <c r="H81" s="12"/>
      <c r="I81" s="12"/>
      <c r="J81" s="300">
        <f t="shared" si="7"/>
        <v>2805722</v>
      </c>
    </row>
    <row r="82" spans="1:21">
      <c r="B82" s="320" t="s">
        <v>133</v>
      </c>
      <c r="C82" s="321"/>
      <c r="D82" s="321"/>
      <c r="E82" s="321"/>
      <c r="F82" s="321"/>
      <c r="G82" s="321"/>
      <c r="H82" s="321"/>
      <c r="I82" s="321"/>
      <c r="J82" s="322"/>
    </row>
    <row r="83" spans="1:21">
      <c r="B83" s="41"/>
      <c r="C83" s="42"/>
      <c r="D83" s="42"/>
      <c r="E83" s="42"/>
      <c r="F83" s="42" t="s">
        <v>171</v>
      </c>
      <c r="G83" s="42" t="s">
        <v>171</v>
      </c>
      <c r="H83" s="37">
        <f>+SUBVENCION!W16+SUBVENCION!X16</f>
        <v>0</v>
      </c>
      <c r="I83" s="37"/>
      <c r="J83" s="300">
        <f>+J81+H83-I83</f>
        <v>2805722</v>
      </c>
      <c r="K83" s="44" t="s">
        <v>133</v>
      </c>
      <c r="L83" s="97" t="s">
        <v>5</v>
      </c>
      <c r="M83" s="97" t="s">
        <v>214</v>
      </c>
      <c r="N83" s="97" t="s">
        <v>212</v>
      </c>
      <c r="O83" s="97" t="s">
        <v>213</v>
      </c>
      <c r="P83" s="97" t="s">
        <v>7</v>
      </c>
    </row>
    <row r="84" spans="1:21">
      <c r="B84" s="41"/>
      <c r="C84" s="42"/>
      <c r="D84" s="42"/>
      <c r="E84" s="42"/>
      <c r="F84" s="42" t="s">
        <v>199</v>
      </c>
      <c r="G84" s="42" t="s">
        <v>199</v>
      </c>
      <c r="H84" s="37"/>
      <c r="I84" s="37"/>
      <c r="J84" s="300">
        <f>+J83+H84-I84</f>
        <v>2805722</v>
      </c>
      <c r="L84" s="37">
        <f>+H83</f>
        <v>0</v>
      </c>
      <c r="M84" s="51">
        <f>+L84*10%</f>
        <v>0</v>
      </c>
      <c r="N84" s="51">
        <f>+I84</f>
        <v>0</v>
      </c>
      <c r="O84" s="51">
        <f>SUM(I85:I94)</f>
        <v>0</v>
      </c>
      <c r="P84" s="153">
        <f>+L84-M84-N84-O84</f>
        <v>0</v>
      </c>
    </row>
    <row r="85" spans="1:21">
      <c r="B85" s="41"/>
      <c r="C85" s="42"/>
      <c r="D85" s="18"/>
      <c r="E85" s="18"/>
      <c r="F85" s="42"/>
      <c r="G85" s="45"/>
      <c r="H85" s="37"/>
      <c r="I85" s="37"/>
      <c r="J85" s="300">
        <f t="shared" ref="J85:J94" si="8">+J84+H85-I85</f>
        <v>2805722</v>
      </c>
    </row>
    <row r="86" spans="1:21">
      <c r="B86" s="41"/>
      <c r="C86" s="42"/>
      <c r="D86" s="42"/>
      <c r="E86" s="42"/>
      <c r="F86" s="42"/>
      <c r="G86" s="45"/>
      <c r="H86" s="37"/>
      <c r="I86" s="37"/>
      <c r="J86" s="300">
        <f t="shared" si="8"/>
        <v>2805722</v>
      </c>
    </row>
    <row r="87" spans="1:21">
      <c r="B87" s="41"/>
      <c r="C87" s="42"/>
      <c r="D87" s="42"/>
      <c r="E87" s="42"/>
      <c r="F87" s="42"/>
      <c r="G87" s="45"/>
      <c r="H87" s="37"/>
      <c r="I87" s="37"/>
      <c r="J87" s="300">
        <f t="shared" si="8"/>
        <v>2805722</v>
      </c>
    </row>
    <row r="88" spans="1:21">
      <c r="B88" s="41"/>
      <c r="C88" s="42"/>
      <c r="D88" s="42"/>
      <c r="E88" s="42"/>
      <c r="F88" s="42"/>
      <c r="G88" s="45"/>
      <c r="H88" s="37"/>
      <c r="I88" s="37"/>
      <c r="J88" s="300">
        <f t="shared" si="8"/>
        <v>2805722</v>
      </c>
    </row>
    <row r="89" spans="1:21">
      <c r="B89" s="41"/>
      <c r="C89" s="42"/>
      <c r="D89" s="42"/>
      <c r="E89" s="42"/>
      <c r="F89" s="42"/>
      <c r="G89" s="45"/>
      <c r="H89" s="37"/>
      <c r="I89" s="37"/>
      <c r="J89" s="300">
        <f t="shared" si="8"/>
        <v>2805722</v>
      </c>
    </row>
    <row r="90" spans="1:21">
      <c r="B90" s="41"/>
      <c r="C90" s="42"/>
      <c r="D90" s="42"/>
      <c r="E90" s="42"/>
      <c r="F90" s="42"/>
      <c r="G90" s="45"/>
      <c r="H90" s="37"/>
      <c r="I90" s="37"/>
      <c r="J90" s="300">
        <f t="shared" si="8"/>
        <v>2805722</v>
      </c>
    </row>
    <row r="91" spans="1:21">
      <c r="B91" s="41"/>
      <c r="C91" s="42"/>
      <c r="D91" s="42"/>
      <c r="E91" s="42"/>
      <c r="F91" s="42"/>
      <c r="G91" s="45"/>
      <c r="H91" s="37"/>
      <c r="I91" s="37"/>
      <c r="J91" s="300">
        <f t="shared" si="8"/>
        <v>2805722</v>
      </c>
    </row>
    <row r="92" spans="1:21">
      <c r="B92" s="41"/>
      <c r="C92" s="42"/>
      <c r="D92" s="42"/>
      <c r="E92" s="42"/>
      <c r="F92" s="42"/>
      <c r="G92" s="45"/>
      <c r="H92" s="37"/>
      <c r="I92" s="37"/>
      <c r="J92" s="300">
        <f t="shared" si="8"/>
        <v>2805722</v>
      </c>
    </row>
    <row r="93" spans="1:21">
      <c r="B93" s="41"/>
      <c r="C93" s="42"/>
      <c r="D93" s="42"/>
      <c r="E93" s="42"/>
      <c r="F93" s="42"/>
      <c r="G93" s="45"/>
      <c r="H93" s="37"/>
      <c r="I93" s="37"/>
      <c r="J93" s="300">
        <f t="shared" si="8"/>
        <v>2805722</v>
      </c>
    </row>
    <row r="94" spans="1:21">
      <c r="B94" s="41"/>
      <c r="C94" s="42"/>
      <c r="D94" s="42"/>
      <c r="E94" s="42"/>
      <c r="F94" s="42"/>
      <c r="G94" s="45"/>
      <c r="H94" s="37"/>
      <c r="I94" s="37"/>
      <c r="J94" s="300">
        <f t="shared" si="8"/>
        <v>2805722</v>
      </c>
    </row>
    <row r="95" spans="1:21">
      <c r="A95" s="35"/>
      <c r="B95" s="320" t="s">
        <v>134</v>
      </c>
      <c r="C95" s="321"/>
      <c r="D95" s="321"/>
      <c r="E95" s="321"/>
      <c r="F95" s="321"/>
      <c r="G95" s="321"/>
      <c r="H95" s="321"/>
      <c r="I95" s="321"/>
      <c r="J95" s="322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</row>
    <row r="96" spans="1:21">
      <c r="A96" s="35"/>
      <c r="B96" s="41"/>
      <c r="C96" s="42"/>
      <c r="D96" s="42"/>
      <c r="E96" s="42"/>
      <c r="F96" s="42" t="s">
        <v>171</v>
      </c>
      <c r="G96" s="42" t="s">
        <v>171</v>
      </c>
      <c r="H96" s="37">
        <f>+SUBVENCION!Y16+SUBVENCION!Z16</f>
        <v>0</v>
      </c>
      <c r="I96" s="37"/>
      <c r="J96" s="300">
        <f>+J94+H96-I96</f>
        <v>2805722</v>
      </c>
      <c r="K96" s="35" t="s">
        <v>134</v>
      </c>
      <c r="L96" s="97" t="s">
        <v>5</v>
      </c>
      <c r="M96" s="97" t="s">
        <v>214</v>
      </c>
      <c r="N96" s="97" t="s">
        <v>212</v>
      </c>
      <c r="O96" s="97" t="s">
        <v>213</v>
      </c>
      <c r="P96" s="97" t="s">
        <v>7</v>
      </c>
      <c r="Q96" s="35"/>
      <c r="R96" s="35"/>
      <c r="S96" s="35"/>
      <c r="T96" s="35"/>
      <c r="U96" s="35"/>
    </row>
    <row r="97" spans="1:21">
      <c r="A97" s="35"/>
      <c r="B97" s="41"/>
      <c r="C97" s="42"/>
      <c r="D97" s="42"/>
      <c r="E97" s="42"/>
      <c r="F97" s="42" t="s">
        <v>199</v>
      </c>
      <c r="G97" s="42" t="s">
        <v>199</v>
      </c>
      <c r="H97" s="37"/>
      <c r="I97" s="37"/>
      <c r="J97" s="300">
        <f t="shared" si="7"/>
        <v>2805722</v>
      </c>
      <c r="K97" s="35"/>
      <c r="L97" s="37">
        <f>+H96</f>
        <v>0</v>
      </c>
      <c r="M97" s="51">
        <f>+L97*10%</f>
        <v>0</v>
      </c>
      <c r="N97" s="51">
        <f>+I97</f>
        <v>0</v>
      </c>
      <c r="O97" s="51">
        <f>SUM(I97:I101)</f>
        <v>0</v>
      </c>
      <c r="P97" s="153">
        <f>+L97-M97-N97-O97</f>
        <v>0</v>
      </c>
      <c r="Q97" s="35"/>
      <c r="R97" s="35"/>
      <c r="S97" s="35"/>
      <c r="T97" s="35"/>
      <c r="U97" s="35"/>
    </row>
    <row r="98" spans="1:21">
      <c r="A98" s="35"/>
      <c r="B98" s="41"/>
      <c r="C98" s="42"/>
      <c r="D98" s="42"/>
      <c r="E98" s="42"/>
      <c r="F98" s="18"/>
      <c r="G98" s="18"/>
      <c r="H98" s="37"/>
      <c r="I98" s="37"/>
      <c r="J98" s="300">
        <f t="shared" si="7"/>
        <v>2805722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</row>
    <row r="99" spans="1:21">
      <c r="A99" s="35"/>
      <c r="B99" s="41"/>
      <c r="C99" s="42"/>
      <c r="D99" s="42"/>
      <c r="E99" s="42"/>
      <c r="F99" s="18"/>
      <c r="G99" s="18"/>
      <c r="H99" s="37"/>
      <c r="I99" s="37"/>
      <c r="J99" s="300">
        <f t="shared" si="7"/>
        <v>2805722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</row>
    <row r="100" spans="1:21">
      <c r="A100" s="35"/>
      <c r="B100" s="41"/>
      <c r="C100" s="42"/>
      <c r="D100" s="42"/>
      <c r="E100" s="42"/>
      <c r="F100" s="42"/>
      <c r="G100" s="42"/>
      <c r="H100" s="37"/>
      <c r="I100" s="37"/>
      <c r="J100" s="300">
        <f t="shared" si="7"/>
        <v>2805722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1:21">
      <c r="A101" s="35"/>
      <c r="B101" s="41"/>
      <c r="C101" s="42"/>
      <c r="D101" s="42"/>
      <c r="E101" s="42"/>
      <c r="F101" s="42"/>
      <c r="G101" s="45"/>
      <c r="H101" s="37"/>
      <c r="I101" s="37"/>
      <c r="J101" s="300">
        <f t="shared" si="7"/>
        <v>2805722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1:21">
      <c r="A102" s="35"/>
      <c r="B102" s="41"/>
      <c r="C102" s="42"/>
      <c r="D102" s="42"/>
      <c r="E102" s="42"/>
      <c r="F102" s="42"/>
      <c r="G102" s="45"/>
      <c r="H102" s="37"/>
      <c r="I102" s="37"/>
      <c r="J102" s="300">
        <f t="shared" si="7"/>
        <v>2805722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1:21">
      <c r="A103" s="35"/>
      <c r="B103" s="41"/>
      <c r="C103" s="42"/>
      <c r="D103" s="42"/>
      <c r="E103" s="42"/>
      <c r="F103" s="42" t="s">
        <v>201</v>
      </c>
      <c r="G103" s="42" t="s">
        <v>201</v>
      </c>
      <c r="H103" s="37">
        <f>(H11+H14+H17+H28+H39+H48+H53+H59+H67+H74+H83+H96)*-10%</f>
        <v>-865272.3</v>
      </c>
      <c r="I103" s="37"/>
      <c r="J103" s="300">
        <f t="shared" si="7"/>
        <v>1940449.7</v>
      </c>
      <c r="K103" s="35" t="s">
        <v>215</v>
      </c>
      <c r="L103" s="97" t="s">
        <v>5</v>
      </c>
      <c r="M103" s="97" t="s">
        <v>214</v>
      </c>
      <c r="N103" s="97" t="s">
        <v>212</v>
      </c>
      <c r="O103" s="97" t="s">
        <v>213</v>
      </c>
      <c r="P103" s="97" t="s">
        <v>7</v>
      </c>
      <c r="Q103" s="35"/>
      <c r="R103" s="35"/>
      <c r="S103" s="35"/>
      <c r="T103" s="35"/>
      <c r="U103" s="35"/>
    </row>
    <row r="104" spans="1:21">
      <c r="A104" s="48"/>
      <c r="B104" s="46" t="s">
        <v>8</v>
      </c>
      <c r="C104" s="97" t="s">
        <v>8</v>
      </c>
      <c r="D104" s="97"/>
      <c r="E104" s="97"/>
      <c r="F104" s="97"/>
      <c r="G104" s="97" t="s">
        <v>9</v>
      </c>
      <c r="H104" s="38">
        <f>SUM(H11:H103)</f>
        <v>7787450.7000000002</v>
      </c>
      <c r="I104" s="38">
        <f>SUM(I11:I103)</f>
        <v>5847001</v>
      </c>
      <c r="J104" s="309">
        <f>+H104-I104</f>
        <v>1940449.7000000002</v>
      </c>
      <c r="K104" s="48"/>
      <c r="L104" s="37">
        <f>+H11+H14+H17+H28+H39+H48+H53+H59+H67+H74+H83+H96</f>
        <v>8652723</v>
      </c>
      <c r="M104" s="51">
        <f>+L104*10%</f>
        <v>865272.3</v>
      </c>
      <c r="N104" s="51">
        <f>+I12+I15+I18+I29+I40+I49+I54+I60+I68+I75+I84+I97</f>
        <v>843729</v>
      </c>
      <c r="O104" s="51">
        <f>I19+I20+I21+I30+I31+I32+I33+I34+I35+I36+I37+I41+I42+I43+I44+I50+I51+I55+I56+I61+I62+I63+I64+I69+I70</f>
        <v>5003272</v>
      </c>
      <c r="P104" s="153">
        <f>+L104-M104-N104-O104</f>
        <v>1940449.7000000002</v>
      </c>
      <c r="Q104" s="48"/>
      <c r="R104" s="48"/>
      <c r="S104" s="48"/>
      <c r="T104" s="48"/>
      <c r="U104" s="48"/>
    </row>
    <row r="106" spans="1:21">
      <c r="P106" s="154">
        <f>+P12+P15+P18+P29+P40+P49+P54+P60+P68+P75+P84+P97</f>
        <v>1940449.7000000002</v>
      </c>
    </row>
    <row r="109" spans="1:21">
      <c r="H109" s="97" t="s">
        <v>5</v>
      </c>
      <c r="I109" s="97" t="s">
        <v>6</v>
      </c>
      <c r="J109" s="97" t="s">
        <v>198</v>
      </c>
    </row>
    <row r="110" spans="1:21">
      <c r="H110" s="37">
        <f>+H104</f>
        <v>7787450.7000000002</v>
      </c>
      <c r="I110" s="43">
        <f>+I104</f>
        <v>5847001</v>
      </c>
      <c r="J110" s="143">
        <f>+I110*100/H110</f>
        <v>75.082350120046343</v>
      </c>
    </row>
  </sheetData>
  <mergeCells count="18">
    <mergeCell ref="B95:J95"/>
    <mergeCell ref="B82:J82"/>
    <mergeCell ref="B73:J73"/>
    <mergeCell ref="B66:J66"/>
    <mergeCell ref="B58:J58"/>
    <mergeCell ref="B52:J52"/>
    <mergeCell ref="B2:J2"/>
    <mergeCell ref="B3:J3"/>
    <mergeCell ref="B6:J6"/>
    <mergeCell ref="B5:J5"/>
    <mergeCell ref="B4:J4"/>
    <mergeCell ref="B47:J47"/>
    <mergeCell ref="B38:J38"/>
    <mergeCell ref="B7:J7"/>
    <mergeCell ref="B10:J10"/>
    <mergeCell ref="B13:J13"/>
    <mergeCell ref="B16:J16"/>
    <mergeCell ref="B27:J27"/>
  </mergeCells>
  <conditionalFormatting sqref="B38 H39:I44 H67:J72 H111:J1048576">
    <cfRule type="cellIs" dxfId="184" priority="16" operator="lessThan">
      <formula>0</formula>
    </cfRule>
  </conditionalFormatting>
  <conditionalFormatting sqref="B52">
    <cfRule type="cellIs" dxfId="183" priority="14" operator="lessThan">
      <formula>0</formula>
    </cfRule>
  </conditionalFormatting>
  <conditionalFormatting sqref="H1:J37 B47">
    <cfRule type="cellIs" dxfId="182" priority="15" operator="lessThan">
      <formula>0</formula>
    </cfRule>
  </conditionalFormatting>
  <conditionalFormatting sqref="H48:J51">
    <cfRule type="cellIs" dxfId="181" priority="7" operator="lessThan">
      <formula>0</formula>
    </cfRule>
  </conditionalFormatting>
  <conditionalFormatting sqref="H53:J57">
    <cfRule type="cellIs" dxfId="180" priority="6" operator="lessThan">
      <formula>0</formula>
    </cfRule>
  </conditionalFormatting>
  <conditionalFormatting sqref="H59:J65">
    <cfRule type="cellIs" dxfId="179" priority="5" operator="lessThan">
      <formula>0</formula>
    </cfRule>
  </conditionalFormatting>
  <conditionalFormatting sqref="H74:J81">
    <cfRule type="cellIs" dxfId="178" priority="3" operator="lessThan">
      <formula>0</formula>
    </cfRule>
  </conditionalFormatting>
  <conditionalFormatting sqref="H83:J94">
    <cfRule type="cellIs" dxfId="177" priority="2" operator="lessThan">
      <formula>0</formula>
    </cfRule>
  </conditionalFormatting>
  <conditionalFormatting sqref="H96:J108">
    <cfRule type="cellIs" dxfId="176" priority="1" operator="lessThan">
      <formula>0</formula>
    </cfRule>
  </conditionalFormatting>
  <conditionalFormatting sqref="J39:J46">
    <cfRule type="cellIs" dxfId="175" priority="8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00"/>
    <pageSetUpPr fitToPage="1"/>
  </sheetPr>
  <dimension ref="A1:W150"/>
  <sheetViews>
    <sheetView showGridLines="0" topLeftCell="A102" zoomScaleNormal="100" workbookViewId="0">
      <selection activeCell="P136" sqref="P136"/>
    </sheetView>
  </sheetViews>
  <sheetFormatPr baseColWidth="10" defaultRowHeight="11.25"/>
  <cols>
    <col min="1" max="2" width="11.42578125" style="44"/>
    <col min="3" max="3" width="14.85546875" style="108" customWidth="1"/>
    <col min="4" max="4" width="13.5703125" style="108" bestFit="1" customWidth="1"/>
    <col min="5" max="5" width="11.42578125" style="108"/>
    <col min="6" max="6" width="25.7109375" style="44" bestFit="1" customWidth="1"/>
    <col min="7" max="7" width="32.28515625" style="44" customWidth="1"/>
    <col min="8" max="9" width="11.42578125" style="44"/>
    <col min="10" max="10" width="14.7109375" style="44" customWidth="1"/>
    <col min="11" max="11" width="11.42578125" style="44"/>
    <col min="12" max="13" width="16.5703125" style="44" customWidth="1"/>
    <col min="14" max="16384" width="11.42578125" style="44"/>
  </cols>
  <sheetData>
    <row r="1" spans="1:23">
      <c r="A1" s="35"/>
      <c r="B1" s="35"/>
      <c r="C1" s="105"/>
      <c r="D1" s="105"/>
      <c r="E1" s="10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33" t="s">
        <v>208</v>
      </c>
      <c r="C2" s="333"/>
      <c r="D2" s="333"/>
      <c r="E2" s="333"/>
      <c r="F2" s="333"/>
      <c r="G2" s="333"/>
      <c r="H2" s="333"/>
      <c r="I2" s="333"/>
      <c r="J2" s="333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>
      <c r="A4" s="35"/>
      <c r="B4" s="327" t="s">
        <v>122</v>
      </c>
      <c r="C4" s="328"/>
      <c r="D4" s="328"/>
      <c r="E4" s="328"/>
      <c r="F4" s="328"/>
      <c r="G4" s="328"/>
      <c r="H4" s="328"/>
      <c r="I4" s="328"/>
      <c r="J4" s="329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5"/>
      <c r="B5" s="327" t="s">
        <v>202</v>
      </c>
      <c r="C5" s="328"/>
      <c r="D5" s="328"/>
      <c r="E5" s="328"/>
      <c r="F5" s="328"/>
      <c r="G5" s="328"/>
      <c r="H5" s="328"/>
      <c r="I5" s="328"/>
      <c r="J5" s="329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>
      <c r="A6" s="35"/>
      <c r="B6" s="327" t="s">
        <v>121</v>
      </c>
      <c r="C6" s="328"/>
      <c r="D6" s="328"/>
      <c r="E6" s="328"/>
      <c r="F6" s="328"/>
      <c r="G6" s="328"/>
      <c r="H6" s="328"/>
      <c r="I6" s="328"/>
      <c r="J6" s="329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>
      <c r="A7" s="35"/>
      <c r="B7" s="335" t="s">
        <v>79</v>
      </c>
      <c r="C7" s="336"/>
      <c r="D7" s="336"/>
      <c r="E7" s="336"/>
      <c r="F7" s="336"/>
      <c r="G7" s="336"/>
      <c r="H7" s="336"/>
      <c r="I7" s="336"/>
      <c r="J7" s="337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>
      <c r="A9" s="35"/>
      <c r="B9" s="41"/>
      <c r="C9" s="40"/>
      <c r="D9" s="40"/>
      <c r="E9" s="40"/>
      <c r="F9" s="42"/>
      <c r="G9" s="42" t="s">
        <v>236</v>
      </c>
      <c r="H9" s="37">
        <f>'[1]E-403'!$J$169</f>
        <v>-2782179.700000003</v>
      </c>
      <c r="I9" s="37"/>
      <c r="J9" s="43">
        <f>+H9-I9</f>
        <v>-2782179.700000003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3">
      <c r="A10" s="35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</row>
    <row r="11" spans="1:23">
      <c r="A11" s="35"/>
      <c r="B11" s="41"/>
      <c r="C11" s="40"/>
      <c r="D11" s="40"/>
      <c r="E11" s="40"/>
      <c r="F11" s="42" t="s">
        <v>171</v>
      </c>
      <c r="G11" s="42" t="s">
        <v>171</v>
      </c>
      <c r="H11" s="37">
        <f>SUBVENCION!C4+SUBVENCION!D4</f>
        <v>38510402</v>
      </c>
      <c r="I11" s="37"/>
      <c r="J11" s="43">
        <f>H11-I11</f>
        <v>38510402</v>
      </c>
      <c r="K11" s="35" t="s">
        <v>66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  <c r="Q11" s="35"/>
      <c r="R11" s="35"/>
      <c r="S11" s="35"/>
      <c r="T11" s="35"/>
      <c r="U11" s="35"/>
      <c r="V11" s="35"/>
      <c r="W11" s="35"/>
    </row>
    <row r="12" spans="1:23">
      <c r="A12" s="35"/>
      <c r="B12" s="41"/>
      <c r="C12" s="40"/>
      <c r="D12" s="40"/>
      <c r="E12" s="40"/>
      <c r="F12" s="42" t="s">
        <v>199</v>
      </c>
      <c r="G12" s="42" t="s">
        <v>199</v>
      </c>
      <c r="H12" s="37"/>
      <c r="I12" s="37">
        <v>26268456</v>
      </c>
      <c r="J12" s="43">
        <f>+J11+H12-I12</f>
        <v>12241946</v>
      </c>
      <c r="K12" s="35"/>
      <c r="L12" s="37">
        <f>+H11</f>
        <v>38510402</v>
      </c>
      <c r="M12" s="51">
        <f>+L12*10%</f>
        <v>3851040.2</v>
      </c>
      <c r="N12" s="51">
        <f>+I12</f>
        <v>26268456</v>
      </c>
      <c r="O12" s="51">
        <f>I13+I14+I15+I16+I17</f>
        <v>11718988</v>
      </c>
      <c r="P12" s="187">
        <f>+L12-M12-N12-O12</f>
        <v>-3328082.200000003</v>
      </c>
      <c r="Q12" s="35"/>
      <c r="R12" s="35"/>
      <c r="S12" s="35"/>
      <c r="T12" s="35"/>
      <c r="U12" s="35"/>
      <c r="V12" s="35"/>
      <c r="W12" s="35"/>
    </row>
    <row r="13" spans="1:23">
      <c r="A13" s="35"/>
      <c r="B13" s="41"/>
      <c r="C13" s="40"/>
      <c r="D13" s="40"/>
      <c r="E13" s="40"/>
      <c r="F13" s="45" t="s">
        <v>275</v>
      </c>
      <c r="G13" s="42" t="s">
        <v>276</v>
      </c>
      <c r="H13" s="37"/>
      <c r="I13" s="37">
        <v>4514400</v>
      </c>
      <c r="J13" s="43">
        <f t="shared" ref="J13" si="0">+J12+H13-I13</f>
        <v>7727546</v>
      </c>
      <c r="K13" s="35"/>
      <c r="L13" s="155"/>
      <c r="M13" s="156"/>
      <c r="N13" s="156"/>
      <c r="O13" s="156"/>
      <c r="P13" s="157"/>
      <c r="Q13" s="35"/>
      <c r="R13" s="35"/>
      <c r="S13" s="35"/>
      <c r="T13" s="35"/>
      <c r="U13" s="35"/>
      <c r="V13" s="35"/>
      <c r="W13" s="35"/>
    </row>
    <row r="14" spans="1:23">
      <c r="A14" s="35"/>
      <c r="B14" s="41">
        <v>46045</v>
      </c>
      <c r="C14" s="40">
        <v>1</v>
      </c>
      <c r="D14" s="40" t="s">
        <v>313</v>
      </c>
      <c r="E14" s="40">
        <v>403</v>
      </c>
      <c r="F14" s="42" t="s">
        <v>278</v>
      </c>
      <c r="G14" s="45" t="s">
        <v>281</v>
      </c>
      <c r="H14" s="37"/>
      <c r="I14" s="37">
        <v>1976019</v>
      </c>
      <c r="J14" s="43">
        <f>+J13+H14-I14</f>
        <v>5751527</v>
      </c>
      <c r="K14" s="35"/>
      <c r="L14" s="155"/>
      <c r="M14" s="156"/>
      <c r="N14" s="156"/>
      <c r="O14" s="156"/>
      <c r="P14" s="157"/>
      <c r="Q14" s="35"/>
      <c r="R14" s="35"/>
      <c r="S14" s="35"/>
      <c r="T14" s="35"/>
      <c r="U14" s="35"/>
      <c r="V14" s="35"/>
      <c r="W14" s="35"/>
    </row>
    <row r="15" spans="1:23">
      <c r="A15" s="35"/>
      <c r="B15" s="41"/>
      <c r="C15" s="40"/>
      <c r="D15" s="40"/>
      <c r="E15" s="97">
        <v>55</v>
      </c>
      <c r="F15" s="55" t="s">
        <v>327</v>
      </c>
      <c r="G15" s="55" t="s">
        <v>327</v>
      </c>
      <c r="H15" s="226"/>
      <c r="I15" s="226">
        <v>82557</v>
      </c>
      <c r="J15" s="43">
        <f t="shared" ref="J15:J16" si="1">+J14+H15-I15</f>
        <v>5668970</v>
      </c>
      <c r="K15" s="35"/>
      <c r="L15" s="155"/>
      <c r="M15" s="156"/>
      <c r="N15" s="156"/>
      <c r="O15" s="156"/>
      <c r="P15" s="157"/>
      <c r="Q15" s="35"/>
      <c r="R15" s="35"/>
      <c r="S15" s="35"/>
      <c r="T15" s="35"/>
      <c r="U15" s="35"/>
      <c r="V15" s="35"/>
      <c r="W15" s="35"/>
    </row>
    <row r="16" spans="1:23">
      <c r="A16" s="35"/>
      <c r="B16" s="41"/>
      <c r="C16" s="40"/>
      <c r="D16" s="40"/>
      <c r="E16" s="97">
        <v>55</v>
      </c>
      <c r="F16" s="55" t="s">
        <v>327</v>
      </c>
      <c r="G16" s="55" t="s">
        <v>327</v>
      </c>
      <c r="H16" s="226"/>
      <c r="I16" s="226">
        <v>631612</v>
      </c>
      <c r="J16" s="43">
        <f t="shared" si="1"/>
        <v>5037358</v>
      </c>
      <c r="K16" s="35"/>
      <c r="L16" s="155"/>
      <c r="M16" s="156"/>
      <c r="N16" s="156"/>
      <c r="O16" s="156"/>
      <c r="P16" s="157"/>
      <c r="Q16" s="35"/>
      <c r="R16" s="35"/>
      <c r="S16" s="35"/>
      <c r="T16" s="35"/>
      <c r="U16" s="35"/>
      <c r="V16" s="35"/>
      <c r="W16" s="35"/>
    </row>
    <row r="17" spans="1:23">
      <c r="A17" s="35"/>
      <c r="B17" s="41"/>
      <c r="C17" s="40"/>
      <c r="D17" s="40"/>
      <c r="E17" s="97">
        <v>13</v>
      </c>
      <c r="F17" s="45" t="s">
        <v>275</v>
      </c>
      <c r="G17" s="42" t="s">
        <v>276</v>
      </c>
      <c r="H17" s="226"/>
      <c r="I17" s="226">
        <v>4514400</v>
      </c>
      <c r="J17" s="43">
        <f>+J16+H17-I17</f>
        <v>522958</v>
      </c>
      <c r="K17" s="35"/>
      <c r="L17" s="155"/>
      <c r="M17" s="156"/>
      <c r="N17" s="156"/>
      <c r="O17" s="156"/>
      <c r="P17" s="157"/>
      <c r="Q17" s="35"/>
      <c r="R17" s="35"/>
      <c r="S17" s="35"/>
      <c r="T17" s="35"/>
      <c r="U17" s="35"/>
      <c r="V17" s="35"/>
      <c r="W17" s="35"/>
    </row>
    <row r="18" spans="1:23">
      <c r="A18" s="35"/>
      <c r="B18" s="330" t="s">
        <v>67</v>
      </c>
      <c r="C18" s="331"/>
      <c r="D18" s="331"/>
      <c r="E18" s="331"/>
      <c r="F18" s="331"/>
      <c r="G18" s="331"/>
      <c r="H18" s="331"/>
      <c r="I18" s="331"/>
      <c r="J18" s="332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>
      <c r="A19" s="35"/>
      <c r="B19" s="41"/>
      <c r="C19" s="40"/>
      <c r="D19" s="40"/>
      <c r="E19" s="40"/>
      <c r="F19" s="42" t="s">
        <v>171</v>
      </c>
      <c r="G19" s="42" t="s">
        <v>171</v>
      </c>
      <c r="H19" s="37">
        <f>SUBVENCION!E4+SUBVENCION!F4</f>
        <v>40811856</v>
      </c>
      <c r="I19" s="37"/>
      <c r="J19" s="43">
        <f>+J17+H19-I19</f>
        <v>41334814</v>
      </c>
      <c r="K19" s="35" t="s">
        <v>67</v>
      </c>
      <c r="L19" s="97" t="s">
        <v>5</v>
      </c>
      <c r="M19" s="97" t="s">
        <v>214</v>
      </c>
      <c r="N19" s="97" t="s">
        <v>212</v>
      </c>
      <c r="O19" s="97" t="s">
        <v>213</v>
      </c>
      <c r="P19" s="97" t="s">
        <v>7</v>
      </c>
      <c r="Q19" s="35"/>
      <c r="R19" s="35"/>
      <c r="S19" s="35"/>
      <c r="T19" s="35"/>
      <c r="U19" s="35"/>
      <c r="V19" s="35"/>
      <c r="W19" s="35"/>
    </row>
    <row r="20" spans="1:23">
      <c r="A20" s="35"/>
      <c r="B20" s="41"/>
      <c r="C20" s="40"/>
      <c r="D20" s="40"/>
      <c r="E20" s="40"/>
      <c r="F20" s="42" t="s">
        <v>199</v>
      </c>
      <c r="G20" s="42" t="s">
        <v>199</v>
      </c>
      <c r="H20" s="37"/>
      <c r="I20" s="12">
        <v>28099384</v>
      </c>
      <c r="J20" s="43">
        <f>+J19+H20-I20</f>
        <v>13235430</v>
      </c>
      <c r="K20" s="35"/>
      <c r="L20" s="37">
        <f>+H19</f>
        <v>40811856</v>
      </c>
      <c r="M20" s="51">
        <f>+L20*10%</f>
        <v>4081185.6</v>
      </c>
      <c r="N20" s="51">
        <f>+I20</f>
        <v>28099384</v>
      </c>
      <c r="O20" s="51">
        <f>+I22+I21</f>
        <v>713963</v>
      </c>
      <c r="P20" s="153">
        <f>+L20-M20-N20-O20</f>
        <v>7917323.3999999985</v>
      </c>
      <c r="Q20" s="35"/>
      <c r="R20" s="35"/>
      <c r="S20" s="35"/>
      <c r="T20" s="35"/>
      <c r="U20" s="35"/>
      <c r="V20" s="35"/>
      <c r="W20" s="35"/>
    </row>
    <row r="21" spans="1:23">
      <c r="A21" s="35"/>
      <c r="B21" s="41"/>
      <c r="C21" s="40"/>
      <c r="D21" s="40"/>
      <c r="E21" s="40">
        <v>161</v>
      </c>
      <c r="F21" s="55" t="s">
        <v>327</v>
      </c>
      <c r="G21" s="55" t="s">
        <v>327</v>
      </c>
      <c r="H21" s="12"/>
      <c r="I21" s="227">
        <v>82741</v>
      </c>
      <c r="J21" s="8">
        <f t="shared" ref="J21:J22" si="2">+J20+H21-I21</f>
        <v>13152689</v>
      </c>
      <c r="K21" s="35"/>
      <c r="L21" s="155"/>
      <c r="M21" s="156"/>
      <c r="N21" s="156"/>
      <c r="O21" s="156"/>
      <c r="P21" s="157"/>
      <c r="Q21" s="35"/>
      <c r="R21" s="35"/>
      <c r="S21" s="35"/>
      <c r="T21" s="35"/>
      <c r="U21" s="35"/>
      <c r="V21" s="35"/>
      <c r="W21" s="35"/>
    </row>
    <row r="22" spans="1:23">
      <c r="A22" s="35"/>
      <c r="B22" s="41"/>
      <c r="C22" s="40"/>
      <c r="D22" s="40"/>
      <c r="E22" s="40">
        <v>161</v>
      </c>
      <c r="F22" s="55" t="s">
        <v>327</v>
      </c>
      <c r="G22" s="55" t="s">
        <v>327</v>
      </c>
      <c r="H22" s="37"/>
      <c r="I22" s="226">
        <v>631222</v>
      </c>
      <c r="J22" s="43">
        <f t="shared" si="2"/>
        <v>12521467</v>
      </c>
      <c r="K22" s="35"/>
      <c r="L22" s="35"/>
      <c r="M22" s="194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spans="1:23">
      <c r="A23" s="35"/>
      <c r="B23" s="330" t="s">
        <v>68</v>
      </c>
      <c r="C23" s="331"/>
      <c r="D23" s="331"/>
      <c r="E23" s="331"/>
      <c r="F23" s="331"/>
      <c r="G23" s="331"/>
      <c r="H23" s="331"/>
      <c r="I23" s="331"/>
      <c r="J23" s="332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1:23">
      <c r="A24" s="35"/>
      <c r="B24" s="41"/>
      <c r="C24" s="40"/>
      <c r="D24" s="40"/>
      <c r="E24" s="40"/>
      <c r="F24" s="42" t="s">
        <v>171</v>
      </c>
      <c r="G24" s="42" t="s">
        <v>171</v>
      </c>
      <c r="H24" s="37">
        <f>SUBVENCION!G4+SUBVENCION!H4</f>
        <v>39280618</v>
      </c>
      <c r="I24" s="37"/>
      <c r="J24" s="43">
        <f>+J22-I24+H24</f>
        <v>51802085</v>
      </c>
      <c r="K24" s="35" t="s">
        <v>68</v>
      </c>
      <c r="L24" s="97" t="s">
        <v>5</v>
      </c>
      <c r="M24" s="97" t="s">
        <v>214</v>
      </c>
      <c r="N24" s="97" t="s">
        <v>212</v>
      </c>
      <c r="O24" s="97" t="s">
        <v>213</v>
      </c>
      <c r="P24" s="97" t="s">
        <v>7</v>
      </c>
      <c r="Q24" s="35"/>
      <c r="R24" s="35"/>
      <c r="S24" s="35"/>
      <c r="T24" s="35"/>
      <c r="U24" s="35"/>
      <c r="V24" s="35"/>
      <c r="W24" s="35"/>
    </row>
    <row r="25" spans="1:23">
      <c r="A25" s="35"/>
      <c r="B25" s="41"/>
      <c r="C25" s="40"/>
      <c r="D25" s="40"/>
      <c r="E25" s="40"/>
      <c r="F25" s="42" t="s">
        <v>199</v>
      </c>
      <c r="G25" s="42" t="s">
        <v>199</v>
      </c>
      <c r="H25" s="37"/>
      <c r="I25" s="12">
        <v>22614496</v>
      </c>
      <c r="J25" s="43">
        <f>+J24+H25-I25</f>
        <v>29187589</v>
      </c>
      <c r="K25" s="35"/>
      <c r="L25" s="37">
        <f>+H24</f>
        <v>39280618</v>
      </c>
      <c r="M25" s="51">
        <f>+L25*10%</f>
        <v>3928061.8000000003</v>
      </c>
      <c r="N25" s="51">
        <f>+I25</f>
        <v>22614496</v>
      </c>
      <c r="O25" s="51">
        <f>I26+I27+I28+I29+I30+I31+I32+I33+I34+I35+I36</f>
        <v>7367194</v>
      </c>
      <c r="P25" s="153">
        <f>+L25-M25-N25-O25</f>
        <v>5370866.200000003</v>
      </c>
      <c r="Q25" s="35"/>
      <c r="R25" s="35"/>
      <c r="S25" s="35"/>
      <c r="T25" s="35"/>
      <c r="U25" s="35"/>
      <c r="V25" s="35"/>
      <c r="W25" s="35"/>
    </row>
    <row r="26" spans="1:23">
      <c r="A26" s="35"/>
      <c r="B26" s="41"/>
      <c r="C26" s="40"/>
      <c r="D26" s="40"/>
      <c r="E26" s="40">
        <v>375</v>
      </c>
      <c r="F26" s="228" t="s">
        <v>275</v>
      </c>
      <c r="G26" s="20" t="s">
        <v>277</v>
      </c>
      <c r="H26" s="12"/>
      <c r="I26" s="12">
        <v>4672404</v>
      </c>
      <c r="J26" s="43">
        <f t="shared" ref="J26:J29" si="3">+J25+H26-I26</f>
        <v>24515185</v>
      </c>
      <c r="K26" s="35"/>
      <c r="L26" s="155"/>
      <c r="M26" s="156"/>
      <c r="N26" s="156"/>
      <c r="O26" s="156"/>
      <c r="P26" s="157"/>
      <c r="Q26" s="35"/>
      <c r="R26" s="35"/>
      <c r="S26" s="35"/>
      <c r="T26" s="35"/>
      <c r="U26" s="35"/>
      <c r="V26" s="35"/>
      <c r="W26" s="35"/>
    </row>
    <row r="27" spans="1:23">
      <c r="A27" s="35"/>
      <c r="B27" s="41">
        <v>46085</v>
      </c>
      <c r="C27" s="40">
        <v>3</v>
      </c>
      <c r="D27" s="40">
        <v>34</v>
      </c>
      <c r="E27" s="40">
        <v>382</v>
      </c>
      <c r="F27" s="42" t="s">
        <v>239</v>
      </c>
      <c r="G27" s="42" t="s">
        <v>240</v>
      </c>
      <c r="H27" s="37"/>
      <c r="I27" s="37">
        <v>208461</v>
      </c>
      <c r="J27" s="43">
        <f t="shared" si="3"/>
        <v>24306724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 spans="1:23">
      <c r="A28" s="35"/>
      <c r="B28" s="41">
        <v>46091</v>
      </c>
      <c r="C28" s="40">
        <v>5</v>
      </c>
      <c r="D28" s="40">
        <v>100</v>
      </c>
      <c r="E28" s="40">
        <v>389</v>
      </c>
      <c r="F28" s="42" t="s">
        <v>273</v>
      </c>
      <c r="G28" s="42" t="s">
        <v>240</v>
      </c>
      <c r="H28" s="37"/>
      <c r="I28" s="37">
        <v>206510</v>
      </c>
      <c r="J28" s="43">
        <f t="shared" si="3"/>
        <v>24100214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 spans="1:23">
      <c r="B29" s="41"/>
      <c r="C29" s="40"/>
      <c r="D29" s="40"/>
      <c r="E29" s="40">
        <v>223</v>
      </c>
      <c r="F29" s="55" t="s">
        <v>327</v>
      </c>
      <c r="G29" s="55" t="s">
        <v>327</v>
      </c>
      <c r="H29" s="226"/>
      <c r="I29" s="226">
        <v>82210</v>
      </c>
      <c r="J29" s="43">
        <f t="shared" si="3"/>
        <v>24018004</v>
      </c>
    </row>
    <row r="30" spans="1:23">
      <c r="B30" s="41"/>
      <c r="C30" s="40"/>
      <c r="D30" s="40"/>
      <c r="E30" s="40">
        <v>293</v>
      </c>
      <c r="F30" s="55" t="s">
        <v>327</v>
      </c>
      <c r="G30" s="55" t="s">
        <v>327</v>
      </c>
      <c r="H30" s="226"/>
      <c r="I30" s="226">
        <v>632698</v>
      </c>
      <c r="J30" s="43">
        <f>+J29+H30-I30</f>
        <v>23385306</v>
      </c>
      <c r="O30" s="181"/>
    </row>
    <row r="31" spans="1:23">
      <c r="A31" s="44" t="s">
        <v>223</v>
      </c>
      <c r="B31" s="41">
        <v>45735</v>
      </c>
      <c r="C31" s="40">
        <v>9</v>
      </c>
      <c r="D31" s="40">
        <v>150</v>
      </c>
      <c r="E31" s="40">
        <v>379</v>
      </c>
      <c r="F31" s="18" t="s">
        <v>267</v>
      </c>
      <c r="G31" s="18" t="s">
        <v>267</v>
      </c>
      <c r="H31" s="37"/>
      <c r="I31" s="37">
        <v>205930</v>
      </c>
      <c r="J31" s="43">
        <f>J30+H31-I31</f>
        <v>23179376</v>
      </c>
    </row>
    <row r="32" spans="1:23">
      <c r="B32" s="41">
        <v>46100</v>
      </c>
      <c r="C32" s="40">
        <v>10</v>
      </c>
      <c r="D32" s="40">
        <v>151</v>
      </c>
      <c r="E32" s="40">
        <v>462</v>
      </c>
      <c r="F32" s="42" t="s">
        <v>242</v>
      </c>
      <c r="G32" s="42" t="s">
        <v>336</v>
      </c>
      <c r="H32" s="37"/>
      <c r="I32" s="37">
        <v>155600</v>
      </c>
      <c r="J32" s="43">
        <f>J31+H32-I32</f>
        <v>23023776</v>
      </c>
      <c r="O32" s="181"/>
    </row>
    <row r="33" spans="2:16">
      <c r="B33" s="41">
        <v>45734</v>
      </c>
      <c r="C33" s="40">
        <v>6</v>
      </c>
      <c r="D33" s="40">
        <v>149</v>
      </c>
      <c r="E33" s="40">
        <v>390</v>
      </c>
      <c r="F33" s="42" t="s">
        <v>278</v>
      </c>
      <c r="G33" s="45" t="s">
        <v>271</v>
      </c>
      <c r="H33" s="37"/>
      <c r="I33" s="37">
        <v>194850</v>
      </c>
      <c r="J33" s="43">
        <f t="shared" ref="J33:J36" si="4">J32+H33-I33</f>
        <v>22828926</v>
      </c>
    </row>
    <row r="34" spans="2:16">
      <c r="B34" s="41">
        <v>46108</v>
      </c>
      <c r="C34" s="40">
        <v>13</v>
      </c>
      <c r="D34" s="40">
        <v>203</v>
      </c>
      <c r="E34" s="40">
        <v>407</v>
      </c>
      <c r="F34" s="42" t="s">
        <v>317</v>
      </c>
      <c r="G34" s="45" t="s">
        <v>261</v>
      </c>
      <c r="H34" s="37"/>
      <c r="I34" s="37">
        <v>189990</v>
      </c>
      <c r="J34" s="43">
        <f t="shared" si="4"/>
        <v>22638936</v>
      </c>
    </row>
    <row r="35" spans="2:16">
      <c r="B35" s="41">
        <v>46108</v>
      </c>
      <c r="C35" s="40">
        <v>15</v>
      </c>
      <c r="D35" s="40">
        <v>204</v>
      </c>
      <c r="E35" s="40">
        <v>429</v>
      </c>
      <c r="F35" s="18" t="s">
        <v>267</v>
      </c>
      <c r="G35" s="45" t="s">
        <v>240</v>
      </c>
      <c r="H35" s="37"/>
      <c r="I35" s="37">
        <v>208981</v>
      </c>
      <c r="J35" s="43">
        <f t="shared" si="4"/>
        <v>22429955</v>
      </c>
    </row>
    <row r="36" spans="2:16">
      <c r="B36" s="41">
        <v>46093</v>
      </c>
      <c r="C36" s="40">
        <v>12</v>
      </c>
      <c r="D36" s="40" t="s">
        <v>410</v>
      </c>
      <c r="E36" s="40">
        <v>646</v>
      </c>
      <c r="F36" s="42" t="s">
        <v>374</v>
      </c>
      <c r="G36" s="45" t="s">
        <v>375</v>
      </c>
      <c r="H36" s="37"/>
      <c r="I36" s="37">
        <v>609560</v>
      </c>
      <c r="J36" s="43">
        <f t="shared" si="4"/>
        <v>21820395</v>
      </c>
    </row>
    <row r="37" spans="2:16">
      <c r="B37" s="330" t="s">
        <v>69</v>
      </c>
      <c r="C37" s="331"/>
      <c r="D37" s="331"/>
      <c r="E37" s="331"/>
      <c r="F37" s="331"/>
      <c r="G37" s="331"/>
      <c r="H37" s="331"/>
      <c r="I37" s="331"/>
      <c r="J37" s="332"/>
    </row>
    <row r="38" spans="2:16">
      <c r="B38" s="41"/>
      <c r="C38" s="40"/>
      <c r="D38" s="40"/>
      <c r="E38" s="40"/>
      <c r="F38" s="42" t="s">
        <v>171</v>
      </c>
      <c r="G38" s="42" t="s">
        <v>171</v>
      </c>
      <c r="H38" s="37">
        <f>SUBVENCION!I4+SUBVENCION!J4</f>
        <v>35290486</v>
      </c>
      <c r="I38" s="37"/>
      <c r="J38" s="43">
        <f>+J36+H38-I38</f>
        <v>57110881</v>
      </c>
      <c r="K38" s="44" t="s">
        <v>69</v>
      </c>
      <c r="L38" s="97" t="s">
        <v>5</v>
      </c>
      <c r="M38" s="97" t="s">
        <v>214</v>
      </c>
      <c r="N38" s="97" t="s">
        <v>212</v>
      </c>
      <c r="O38" s="97" t="s">
        <v>213</v>
      </c>
      <c r="P38" s="97" t="s">
        <v>7</v>
      </c>
    </row>
    <row r="39" spans="2:16">
      <c r="B39" s="41"/>
      <c r="C39" s="40"/>
      <c r="D39" s="40"/>
      <c r="E39" s="40"/>
      <c r="F39" s="42" t="s">
        <v>199</v>
      </c>
      <c r="G39" s="42" t="s">
        <v>199</v>
      </c>
      <c r="H39" s="37"/>
      <c r="I39" s="37">
        <v>24923503</v>
      </c>
      <c r="J39" s="43">
        <f>+J38+H39-I39</f>
        <v>32187378</v>
      </c>
      <c r="L39" s="37">
        <f>+H38</f>
        <v>35290486</v>
      </c>
      <c r="M39" s="51">
        <f>+L39*10%</f>
        <v>3529048.6</v>
      </c>
      <c r="N39" s="51">
        <f>+I39</f>
        <v>24923503</v>
      </c>
      <c r="O39" s="51">
        <f>I40+I41+I42+I43+I44+I45+I46+I47</f>
        <v>14108069</v>
      </c>
      <c r="P39" s="187">
        <f>+L39-M39-N39-O39</f>
        <v>-7270134.6000000015</v>
      </c>
    </row>
    <row r="40" spans="2:16">
      <c r="B40" s="41"/>
      <c r="C40" s="40"/>
      <c r="D40" s="40"/>
      <c r="E40" s="40">
        <v>351</v>
      </c>
      <c r="F40" s="55" t="s">
        <v>327</v>
      </c>
      <c r="G40" s="55" t="s">
        <v>327</v>
      </c>
      <c r="H40" s="37"/>
      <c r="I40" s="37">
        <v>82403</v>
      </c>
      <c r="J40" s="43">
        <f t="shared" ref="J40:J47" si="5">+J39+H40-I40</f>
        <v>32104975</v>
      </c>
      <c r="O40" s="44" t="s">
        <v>223</v>
      </c>
    </row>
    <row r="41" spans="2:16">
      <c r="B41" s="41"/>
      <c r="C41" s="40"/>
      <c r="D41" s="40"/>
      <c r="E41" s="40">
        <v>455</v>
      </c>
      <c r="F41" s="55" t="s">
        <v>327</v>
      </c>
      <c r="G41" s="55" t="s">
        <v>327</v>
      </c>
      <c r="H41" s="37"/>
      <c r="I41" s="37">
        <v>633419</v>
      </c>
      <c r="J41" s="43">
        <f t="shared" si="5"/>
        <v>31471556</v>
      </c>
    </row>
    <row r="42" spans="2:16">
      <c r="B42" s="41"/>
      <c r="C42" s="40"/>
      <c r="D42" s="40"/>
      <c r="E42" s="40">
        <v>573</v>
      </c>
      <c r="F42" s="228" t="s">
        <v>275</v>
      </c>
      <c r="G42" s="20" t="s">
        <v>330</v>
      </c>
      <c r="H42" s="37"/>
      <c r="I42" s="37">
        <v>4672404</v>
      </c>
      <c r="J42" s="43">
        <f t="shared" si="5"/>
        <v>26799152</v>
      </c>
    </row>
    <row r="43" spans="2:16">
      <c r="B43" s="41">
        <v>46127</v>
      </c>
      <c r="C43" s="40">
        <v>18</v>
      </c>
      <c r="D43" s="40">
        <v>305</v>
      </c>
      <c r="E43" s="40">
        <v>705</v>
      </c>
      <c r="F43" s="18" t="s">
        <v>267</v>
      </c>
      <c r="G43" s="45" t="s">
        <v>240</v>
      </c>
      <c r="H43" s="37"/>
      <c r="I43" s="37">
        <v>209003</v>
      </c>
      <c r="J43" s="43">
        <f t="shared" si="5"/>
        <v>26590149</v>
      </c>
    </row>
    <row r="44" spans="2:16">
      <c r="B44" s="41">
        <v>46128</v>
      </c>
      <c r="C44" s="40">
        <v>19</v>
      </c>
      <c r="D44" s="40">
        <v>306</v>
      </c>
      <c r="E44" s="40">
        <v>645</v>
      </c>
      <c r="F44" s="42" t="s">
        <v>278</v>
      </c>
      <c r="G44" s="42" t="s">
        <v>402</v>
      </c>
      <c r="H44" s="37"/>
      <c r="I44" s="37">
        <v>202500</v>
      </c>
      <c r="J44" s="43">
        <f t="shared" si="5"/>
        <v>26387649</v>
      </c>
    </row>
    <row r="45" spans="2:16">
      <c r="B45" s="41">
        <v>46128</v>
      </c>
      <c r="C45" s="40">
        <v>20</v>
      </c>
      <c r="D45" s="40">
        <v>307</v>
      </c>
      <c r="E45" s="9">
        <v>583</v>
      </c>
      <c r="F45" s="18" t="s">
        <v>267</v>
      </c>
      <c r="G45" s="45" t="s">
        <v>240</v>
      </c>
      <c r="H45" s="37"/>
      <c r="I45" s="37">
        <v>209440</v>
      </c>
      <c r="J45" s="43">
        <f t="shared" si="5"/>
        <v>26178209</v>
      </c>
    </row>
    <row r="46" spans="2:16">
      <c r="B46" s="41">
        <v>46142</v>
      </c>
      <c r="C46" s="40">
        <v>23</v>
      </c>
      <c r="D46" s="40">
        <v>383</v>
      </c>
      <c r="E46" s="40">
        <v>745</v>
      </c>
      <c r="F46" s="18" t="s">
        <v>267</v>
      </c>
      <c r="G46" s="45" t="s">
        <v>240</v>
      </c>
      <c r="H46" s="37"/>
      <c r="I46" s="37">
        <v>209200</v>
      </c>
      <c r="J46" s="43">
        <f t="shared" si="5"/>
        <v>25969009</v>
      </c>
    </row>
    <row r="47" spans="2:16">
      <c r="B47" s="41">
        <v>46142</v>
      </c>
      <c r="C47" s="40">
        <v>24</v>
      </c>
      <c r="D47" s="40" t="s">
        <v>592</v>
      </c>
      <c r="E47" s="236" t="s">
        <v>701</v>
      </c>
      <c r="F47" s="42" t="s">
        <v>322</v>
      </c>
      <c r="G47" s="42" t="s">
        <v>322</v>
      </c>
      <c r="H47" s="37"/>
      <c r="I47" s="37">
        <v>7889700</v>
      </c>
      <c r="J47" s="43">
        <f t="shared" si="5"/>
        <v>18079309</v>
      </c>
    </row>
    <row r="48" spans="2:16">
      <c r="B48" s="330" t="s">
        <v>120</v>
      </c>
      <c r="C48" s="331"/>
      <c r="D48" s="331"/>
      <c r="E48" s="331"/>
      <c r="F48" s="331"/>
      <c r="G48" s="331"/>
      <c r="H48" s="331"/>
      <c r="I48" s="331"/>
      <c r="J48" s="332"/>
    </row>
    <row r="49" spans="2:16" ht="12">
      <c r="B49" s="41"/>
      <c r="C49" s="106"/>
      <c r="D49" s="106"/>
      <c r="E49" s="40"/>
      <c r="F49" s="42" t="s">
        <v>171</v>
      </c>
      <c r="G49" s="42" t="s">
        <v>171</v>
      </c>
      <c r="H49" s="12">
        <f>SUBVENCION!K4+SUBVENCION!L4</f>
        <v>34799535</v>
      </c>
      <c r="I49" s="107"/>
      <c r="J49" s="43">
        <f>+J47+H49-I49</f>
        <v>52878844</v>
      </c>
      <c r="K49" s="44" t="s">
        <v>120</v>
      </c>
      <c r="L49" s="97" t="s">
        <v>5</v>
      </c>
      <c r="M49" s="97" t="s">
        <v>214</v>
      </c>
      <c r="N49" s="97" t="s">
        <v>212</v>
      </c>
      <c r="O49" s="97" t="s">
        <v>213</v>
      </c>
      <c r="P49" s="97" t="s">
        <v>7</v>
      </c>
    </row>
    <row r="50" spans="2:16" ht="12">
      <c r="B50" s="41"/>
      <c r="C50" s="106"/>
      <c r="D50" s="106"/>
      <c r="E50" s="40"/>
      <c r="F50" s="42" t="s">
        <v>199</v>
      </c>
      <c r="G50" s="42" t="s">
        <v>199</v>
      </c>
      <c r="H50" s="37"/>
      <c r="I50" s="269">
        <v>25098532</v>
      </c>
      <c r="J50" s="43">
        <f>+J49+H50-I50</f>
        <v>27780312</v>
      </c>
      <c r="L50" s="37">
        <f>+H49</f>
        <v>34799535</v>
      </c>
      <c r="M50" s="51">
        <f>+L50*10%</f>
        <v>3479953.5</v>
      </c>
      <c r="N50" s="51">
        <f>+I50</f>
        <v>25098532</v>
      </c>
      <c r="O50" s="51">
        <f>SUM(I51:I59)</f>
        <v>6468858</v>
      </c>
      <c r="P50" s="187">
        <f>+L50-M50-N50-O50</f>
        <v>-247808.5</v>
      </c>
    </row>
    <row r="51" spans="2:16" ht="12">
      <c r="B51" s="41">
        <v>46155</v>
      </c>
      <c r="C51" s="106"/>
      <c r="D51" s="106"/>
      <c r="E51" s="40">
        <v>564</v>
      </c>
      <c r="F51" s="55" t="s">
        <v>327</v>
      </c>
      <c r="G51" s="55" t="s">
        <v>327</v>
      </c>
      <c r="H51" s="37"/>
      <c r="I51" s="37">
        <v>82403</v>
      </c>
      <c r="J51" s="43">
        <f>+J50+H51-I51</f>
        <v>27697909</v>
      </c>
    </row>
    <row r="52" spans="2:16" ht="12">
      <c r="B52" s="41"/>
      <c r="C52" s="106"/>
      <c r="D52" s="106"/>
      <c r="E52" s="40">
        <v>564</v>
      </c>
      <c r="F52" s="55" t="s">
        <v>327</v>
      </c>
      <c r="G52" s="55" t="s">
        <v>327</v>
      </c>
      <c r="H52" s="37"/>
      <c r="I52" s="37">
        <v>638059</v>
      </c>
      <c r="J52" s="43">
        <f t="shared" ref="J52:J59" si="6">+J51+H52-I52</f>
        <v>27059850</v>
      </c>
    </row>
    <row r="53" spans="2:16" ht="12">
      <c r="B53" s="41">
        <v>46171</v>
      </c>
      <c r="C53" s="106"/>
      <c r="D53" s="106"/>
      <c r="E53" s="40">
        <v>715</v>
      </c>
      <c r="F53" s="55" t="s">
        <v>327</v>
      </c>
      <c r="G53" s="55" t="s">
        <v>327</v>
      </c>
      <c r="H53" s="37"/>
      <c r="I53" s="37">
        <v>83102</v>
      </c>
      <c r="J53" s="43">
        <f t="shared" si="6"/>
        <v>26976748</v>
      </c>
    </row>
    <row r="54" spans="2:16" ht="12">
      <c r="B54" s="41"/>
      <c r="C54" s="106"/>
      <c r="D54" s="106"/>
      <c r="E54" s="40">
        <v>783</v>
      </c>
      <c r="F54" s="10" t="s">
        <v>275</v>
      </c>
      <c r="G54" s="18" t="s">
        <v>333</v>
      </c>
      <c r="H54" s="37"/>
      <c r="I54" s="107">
        <v>4672404</v>
      </c>
      <c r="J54" s="43">
        <f t="shared" si="6"/>
        <v>22304344</v>
      </c>
    </row>
    <row r="55" spans="2:16" ht="12">
      <c r="B55" s="41">
        <v>46147</v>
      </c>
      <c r="C55" s="106">
        <v>25</v>
      </c>
      <c r="D55" s="106">
        <v>390</v>
      </c>
      <c r="E55" s="40">
        <v>753</v>
      </c>
      <c r="F55" s="42" t="s">
        <v>278</v>
      </c>
      <c r="G55" s="42" t="s">
        <v>278</v>
      </c>
      <c r="H55" s="37"/>
      <c r="I55" s="37">
        <v>205900</v>
      </c>
      <c r="J55" s="43">
        <f t="shared" si="6"/>
        <v>22098444</v>
      </c>
    </row>
    <row r="56" spans="2:16">
      <c r="B56" s="41">
        <v>46149</v>
      </c>
      <c r="C56" s="40">
        <v>30</v>
      </c>
      <c r="D56" s="40">
        <v>418</v>
      </c>
      <c r="E56" s="40">
        <v>806</v>
      </c>
      <c r="F56" s="18" t="s">
        <v>267</v>
      </c>
      <c r="G56" s="45" t="s">
        <v>240</v>
      </c>
      <c r="H56" s="37"/>
      <c r="I56" s="37">
        <v>207480</v>
      </c>
      <c r="J56" s="43">
        <f t="shared" si="6"/>
        <v>21890964</v>
      </c>
    </row>
    <row r="57" spans="2:16">
      <c r="B57" s="41">
        <v>46149</v>
      </c>
      <c r="C57" s="40">
        <v>31</v>
      </c>
      <c r="D57" s="40">
        <v>419</v>
      </c>
      <c r="E57" s="40">
        <v>823</v>
      </c>
      <c r="F57" s="42" t="s">
        <v>242</v>
      </c>
      <c r="G57" s="42" t="s">
        <v>242</v>
      </c>
      <c r="H57" s="37"/>
      <c r="I57" s="37">
        <v>191960</v>
      </c>
      <c r="J57" s="43">
        <f t="shared" si="6"/>
        <v>21699004</v>
      </c>
      <c r="L57" s="104">
        <f>H49-H61</f>
        <v>6359426</v>
      </c>
    </row>
    <row r="58" spans="2:16">
      <c r="B58" s="41">
        <v>46170</v>
      </c>
      <c r="C58" s="40">
        <v>38</v>
      </c>
      <c r="D58" s="40">
        <v>500</v>
      </c>
      <c r="E58" s="40">
        <v>956</v>
      </c>
      <c r="F58" s="18" t="s">
        <v>267</v>
      </c>
      <c r="G58" s="45" t="s">
        <v>240</v>
      </c>
      <c r="H58" s="37"/>
      <c r="I58" s="37">
        <v>208550</v>
      </c>
      <c r="J58" s="43">
        <f t="shared" si="6"/>
        <v>21490454</v>
      </c>
    </row>
    <row r="59" spans="2:16">
      <c r="B59" s="41">
        <v>46169</v>
      </c>
      <c r="C59" s="40">
        <v>36</v>
      </c>
      <c r="D59" s="40">
        <v>499</v>
      </c>
      <c r="E59" s="40">
        <v>987</v>
      </c>
      <c r="F59" s="42" t="s">
        <v>278</v>
      </c>
      <c r="G59" s="42" t="s">
        <v>281</v>
      </c>
      <c r="H59" s="37"/>
      <c r="I59" s="37">
        <v>179000</v>
      </c>
      <c r="J59" s="43">
        <f t="shared" si="6"/>
        <v>21311454</v>
      </c>
    </row>
    <row r="60" spans="2:16">
      <c r="B60" s="330" t="s">
        <v>129</v>
      </c>
      <c r="C60" s="331"/>
      <c r="D60" s="331"/>
      <c r="E60" s="331"/>
      <c r="F60" s="331"/>
      <c r="G60" s="331"/>
      <c r="H60" s="331"/>
      <c r="I60" s="331"/>
      <c r="J60" s="332"/>
    </row>
    <row r="61" spans="2:16">
      <c r="B61" s="41"/>
      <c r="C61" s="40"/>
      <c r="D61" s="40"/>
      <c r="E61" s="40"/>
      <c r="F61" s="42" t="s">
        <v>171</v>
      </c>
      <c r="G61" s="42" t="s">
        <v>171</v>
      </c>
      <c r="H61" s="12">
        <f>SUBVENCION!M4+SUBVENCION!N4</f>
        <v>28440109</v>
      </c>
      <c r="I61" s="37"/>
      <c r="J61" s="43">
        <f>+J59+H61-I61</f>
        <v>49751563</v>
      </c>
      <c r="K61" s="44" t="s">
        <v>129</v>
      </c>
      <c r="L61" s="97" t="s">
        <v>5</v>
      </c>
      <c r="M61" s="97" t="s">
        <v>214</v>
      </c>
      <c r="N61" s="97" t="s">
        <v>212</v>
      </c>
      <c r="O61" s="97" t="s">
        <v>213</v>
      </c>
      <c r="P61" s="97" t="s">
        <v>7</v>
      </c>
    </row>
    <row r="62" spans="2:16">
      <c r="B62" s="41"/>
      <c r="C62" s="40"/>
      <c r="D62" s="40"/>
      <c r="E62" s="40"/>
      <c r="F62" s="42" t="s">
        <v>199</v>
      </c>
      <c r="G62" s="42" t="s">
        <v>199</v>
      </c>
      <c r="H62" s="37"/>
      <c r="I62" s="37">
        <v>25737074</v>
      </c>
      <c r="J62" s="43">
        <f>+J61+H62-I62</f>
        <v>24014489</v>
      </c>
      <c r="L62" s="37">
        <f>+H61</f>
        <v>28440109</v>
      </c>
      <c r="M62" s="51">
        <f>+L62*10%</f>
        <v>2844010.9000000004</v>
      </c>
      <c r="N62" s="51">
        <f>I62</f>
        <v>25737074</v>
      </c>
      <c r="O62" s="51">
        <f>I63+I64+I65+I66+I67+I68+I69+I70</f>
        <v>6309634</v>
      </c>
      <c r="P62" s="187">
        <f>+L62-M62-N62-O62</f>
        <v>-6450609.8999999985</v>
      </c>
    </row>
    <row r="63" spans="2:16">
      <c r="B63" s="41"/>
      <c r="C63" s="40"/>
      <c r="D63" s="40"/>
      <c r="E63" s="40">
        <v>715</v>
      </c>
      <c r="F63" s="55" t="s">
        <v>327</v>
      </c>
      <c r="G63" s="55" t="s">
        <v>327</v>
      </c>
      <c r="H63" s="37"/>
      <c r="I63" s="37">
        <v>83102</v>
      </c>
      <c r="J63" s="43">
        <f t="shared" ref="J63:J70" si="7">+J62+H63-I63</f>
        <v>23931387</v>
      </c>
    </row>
    <row r="64" spans="2:16">
      <c r="B64" s="41"/>
      <c r="C64" s="40"/>
      <c r="D64" s="40"/>
      <c r="E64" s="40">
        <v>791</v>
      </c>
      <c r="F64" s="55" t="s">
        <v>327</v>
      </c>
      <c r="G64" s="55" t="s">
        <v>327</v>
      </c>
      <c r="H64" s="37"/>
      <c r="I64" s="37">
        <v>645914</v>
      </c>
      <c r="J64" s="43">
        <f t="shared" si="7"/>
        <v>23285473</v>
      </c>
    </row>
    <row r="65" spans="1:23">
      <c r="A65" s="35"/>
      <c r="B65" s="41"/>
      <c r="C65" s="40"/>
      <c r="D65" s="40"/>
      <c r="E65" s="40">
        <v>783</v>
      </c>
      <c r="F65" s="10" t="s">
        <v>275</v>
      </c>
      <c r="G65" s="18" t="s">
        <v>334</v>
      </c>
      <c r="H65" s="37"/>
      <c r="I65" s="37">
        <v>4672404</v>
      </c>
      <c r="J65" s="43">
        <f t="shared" si="7"/>
        <v>18613069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</row>
    <row r="66" spans="1:23">
      <c r="A66" s="35"/>
      <c r="B66" s="41">
        <v>46175</v>
      </c>
      <c r="C66" s="40">
        <v>39</v>
      </c>
      <c r="D66" s="40">
        <v>527</v>
      </c>
      <c r="E66" s="40">
        <v>988</v>
      </c>
      <c r="F66" s="18" t="s">
        <v>267</v>
      </c>
      <c r="G66" s="18" t="s">
        <v>479</v>
      </c>
      <c r="H66" s="37"/>
      <c r="I66" s="37">
        <v>199965</v>
      </c>
      <c r="J66" s="43">
        <f t="shared" si="7"/>
        <v>18413104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 spans="1:23">
      <c r="A67" s="35"/>
      <c r="B67" s="41">
        <v>46175</v>
      </c>
      <c r="C67" s="40">
        <v>42</v>
      </c>
      <c r="D67" s="40">
        <v>528</v>
      </c>
      <c r="E67" s="40">
        <v>953</v>
      </c>
      <c r="F67" s="18" t="s">
        <v>267</v>
      </c>
      <c r="G67" s="18" t="s">
        <v>240</v>
      </c>
      <c r="H67" s="37"/>
      <c r="I67" s="37">
        <v>206340</v>
      </c>
      <c r="J67" s="43">
        <f>+J66+H67-I67</f>
        <v>18206764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</row>
    <row r="68" spans="1:23">
      <c r="A68" s="35"/>
      <c r="B68" s="41">
        <v>46175</v>
      </c>
      <c r="C68" s="40">
        <v>44</v>
      </c>
      <c r="D68" s="40" t="s">
        <v>480</v>
      </c>
      <c r="E68" s="40">
        <v>1026</v>
      </c>
      <c r="F68" s="18" t="s">
        <v>267</v>
      </c>
      <c r="G68" s="18" t="s">
        <v>240</v>
      </c>
      <c r="H68" s="37"/>
      <c r="I68" s="37">
        <f>50295+34104</f>
        <v>84399</v>
      </c>
      <c r="J68" s="43">
        <f t="shared" si="7"/>
        <v>18122365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</row>
    <row r="69" spans="1:23">
      <c r="A69" s="35"/>
      <c r="B69" s="41">
        <v>46188</v>
      </c>
      <c r="C69" s="40">
        <v>46</v>
      </c>
      <c r="D69" s="40">
        <v>589</v>
      </c>
      <c r="E69" s="236"/>
      <c r="F69" s="18" t="s">
        <v>267</v>
      </c>
      <c r="G69" s="18" t="s">
        <v>240</v>
      </c>
      <c r="H69" s="37"/>
      <c r="I69" s="37">
        <v>209610</v>
      </c>
      <c r="J69" s="43">
        <f t="shared" si="7"/>
        <v>17912755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 spans="1:23">
      <c r="A70" s="35"/>
      <c r="B70" s="41">
        <v>46188</v>
      </c>
      <c r="C70" s="40">
        <v>49</v>
      </c>
      <c r="D70" s="40">
        <v>590</v>
      </c>
      <c r="E70" s="40">
        <v>1024</v>
      </c>
      <c r="F70" s="42" t="s">
        <v>242</v>
      </c>
      <c r="G70" s="42" t="s">
        <v>496</v>
      </c>
      <c r="H70" s="37"/>
      <c r="I70" s="37">
        <v>207900</v>
      </c>
      <c r="J70" s="43">
        <f t="shared" si="7"/>
        <v>17704855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  <row r="71" spans="1:23">
      <c r="A71" s="35"/>
      <c r="B71" s="330" t="s">
        <v>65</v>
      </c>
      <c r="C71" s="331"/>
      <c r="D71" s="331"/>
      <c r="E71" s="331"/>
      <c r="F71" s="331"/>
      <c r="G71" s="331"/>
      <c r="H71" s="331"/>
      <c r="I71" s="331"/>
      <c r="J71" s="332"/>
      <c r="K71" s="35"/>
      <c r="L71" s="35"/>
      <c r="M71" s="35"/>
      <c r="N71" s="35"/>
      <c r="O71" s="35"/>
      <c r="P71" s="35"/>
      <c r="Q71" s="35"/>
      <c r="R71" s="35" t="s">
        <v>223</v>
      </c>
      <c r="S71" s="35"/>
      <c r="T71" s="35"/>
      <c r="U71" s="35"/>
      <c r="V71" s="35"/>
      <c r="W71" s="35"/>
    </row>
    <row r="72" spans="1:23">
      <c r="A72" s="35"/>
      <c r="B72" s="41"/>
      <c r="C72" s="40"/>
      <c r="D72" s="40"/>
      <c r="E72" s="40"/>
      <c r="F72" s="42" t="s">
        <v>171</v>
      </c>
      <c r="G72" s="42" t="s">
        <v>171</v>
      </c>
      <c r="H72" s="37">
        <f>+SUBVENCION!O4+SUBVENCION!P4</f>
        <v>33026146</v>
      </c>
      <c r="I72" s="37"/>
      <c r="J72" s="43">
        <f>+J70+H72-I72</f>
        <v>50731001</v>
      </c>
      <c r="K72" s="35" t="s">
        <v>65</v>
      </c>
      <c r="L72" s="97" t="s">
        <v>5</v>
      </c>
      <c r="M72" s="97" t="s">
        <v>214</v>
      </c>
      <c r="N72" s="97" t="s">
        <v>212</v>
      </c>
      <c r="O72" s="97" t="s">
        <v>213</v>
      </c>
      <c r="P72" s="97" t="s">
        <v>7</v>
      </c>
      <c r="Q72" s="35"/>
      <c r="R72" s="35"/>
      <c r="S72" s="35"/>
      <c r="T72" s="35"/>
      <c r="U72" s="35"/>
      <c r="V72" s="35"/>
      <c r="W72" s="35"/>
    </row>
    <row r="73" spans="1:23">
      <c r="A73" s="35"/>
      <c r="B73" s="41"/>
      <c r="C73" s="40"/>
      <c r="D73" s="40"/>
      <c r="E73" s="40"/>
      <c r="F73" s="42" t="s">
        <v>199</v>
      </c>
      <c r="G73" s="42" t="s">
        <v>199</v>
      </c>
      <c r="H73" s="37"/>
      <c r="I73" s="37">
        <v>25761945</v>
      </c>
      <c r="J73" s="43">
        <f>+J72+H73-I73</f>
        <v>24969056</v>
      </c>
      <c r="K73" s="35"/>
      <c r="L73" s="37">
        <f>+H72</f>
        <v>33026146</v>
      </c>
      <c r="M73" s="51">
        <f>+L73*10%</f>
        <v>3302614.6</v>
      </c>
      <c r="N73" s="51">
        <f>+I73</f>
        <v>25761945</v>
      </c>
      <c r="O73" s="51">
        <f>+I74+I75+I76+I77</f>
        <v>5500078</v>
      </c>
      <c r="P73" s="187">
        <f>+L73-M73-N73-O73</f>
        <v>-1538491.6000000015</v>
      </c>
      <c r="Q73" s="35"/>
      <c r="R73" s="35"/>
      <c r="S73" s="35"/>
      <c r="T73" s="35"/>
      <c r="U73" s="35"/>
      <c r="V73" s="35"/>
      <c r="W73" s="35"/>
    </row>
    <row r="74" spans="1:23">
      <c r="A74" s="35"/>
      <c r="B74" s="41"/>
      <c r="C74" s="40"/>
      <c r="D74" s="40"/>
      <c r="E74" s="40">
        <v>945</v>
      </c>
      <c r="F74" s="55" t="s">
        <v>327</v>
      </c>
      <c r="G74" s="55" t="s">
        <v>327</v>
      </c>
      <c r="H74" s="37"/>
      <c r="I74" s="37">
        <v>94123</v>
      </c>
      <c r="J74" s="43">
        <f t="shared" ref="J74:J77" si="8">+J73+H74-I74</f>
        <v>24874933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</row>
    <row r="75" spans="1:23">
      <c r="A75" s="35"/>
      <c r="B75" s="41"/>
      <c r="C75" s="40"/>
      <c r="D75" s="40"/>
      <c r="E75" s="40">
        <v>995</v>
      </c>
      <c r="F75" s="55" t="s">
        <v>327</v>
      </c>
      <c r="G75" s="55" t="s">
        <v>327</v>
      </c>
      <c r="H75" s="37"/>
      <c r="I75" s="37">
        <v>649021</v>
      </c>
      <c r="J75" s="43">
        <f t="shared" si="8"/>
        <v>24225912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</row>
    <row r="76" spans="1:23">
      <c r="A76" s="35"/>
      <c r="B76" s="41"/>
      <c r="C76" s="40"/>
      <c r="D76" s="40"/>
      <c r="E76" s="40">
        <v>955</v>
      </c>
      <c r="F76" s="10" t="s">
        <v>275</v>
      </c>
      <c r="G76" s="18" t="s">
        <v>335</v>
      </c>
      <c r="H76" s="37"/>
      <c r="I76" s="37">
        <v>4672404</v>
      </c>
      <c r="J76" s="43">
        <f t="shared" si="8"/>
        <v>19553508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</row>
    <row r="77" spans="1:23">
      <c r="A77" s="35"/>
      <c r="B77" s="41"/>
      <c r="C77" s="40"/>
      <c r="D77" s="40"/>
      <c r="E77" s="40">
        <v>1107</v>
      </c>
      <c r="F77" s="55" t="s">
        <v>327</v>
      </c>
      <c r="G77" s="55" t="s">
        <v>327</v>
      </c>
      <c r="H77" s="37"/>
      <c r="I77" s="37">
        <v>84530</v>
      </c>
      <c r="J77" s="43">
        <f t="shared" si="8"/>
        <v>19468978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</row>
    <row r="78" spans="1:23">
      <c r="A78" s="35"/>
      <c r="B78" s="41"/>
      <c r="C78" s="40"/>
      <c r="D78" s="40"/>
      <c r="E78" s="40"/>
      <c r="F78" s="42"/>
      <c r="G78" s="42"/>
      <c r="H78" s="37"/>
      <c r="I78" s="37"/>
      <c r="J78" s="43">
        <f>+J77+H78-I78</f>
        <v>19468978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</row>
    <row r="79" spans="1:23">
      <c r="A79" s="35"/>
      <c r="B79" s="320" t="s">
        <v>130</v>
      </c>
      <c r="C79" s="321"/>
      <c r="D79" s="321"/>
      <c r="E79" s="321"/>
      <c r="F79" s="321"/>
      <c r="G79" s="321"/>
      <c r="H79" s="321"/>
      <c r="I79" s="321"/>
      <c r="J79" s="322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</row>
    <row r="80" spans="1:23">
      <c r="A80" s="35"/>
      <c r="B80" s="41"/>
      <c r="C80" s="42"/>
      <c r="D80" s="42"/>
      <c r="E80" s="40"/>
      <c r="F80" s="42" t="s">
        <v>171</v>
      </c>
      <c r="G80" s="42" t="s">
        <v>171</v>
      </c>
      <c r="H80" s="37">
        <f>+SUBVENCION!Q4+SUBVENCION!R4</f>
        <v>31728901</v>
      </c>
      <c r="I80" s="37"/>
      <c r="J80" s="43">
        <f>+J78+H80-I80</f>
        <v>51197879</v>
      </c>
      <c r="K80" s="35" t="s">
        <v>130</v>
      </c>
      <c r="L80" s="97" t="s">
        <v>5</v>
      </c>
      <c r="M80" s="97" t="s">
        <v>214</v>
      </c>
      <c r="N80" s="97" t="s">
        <v>212</v>
      </c>
      <c r="O80" s="97" t="s">
        <v>213</v>
      </c>
      <c r="P80" s="97" t="s">
        <v>7</v>
      </c>
      <c r="Q80" s="35"/>
      <c r="R80" s="35"/>
      <c r="S80" s="35"/>
      <c r="T80" s="35"/>
      <c r="U80" s="35"/>
      <c r="V80" s="35"/>
      <c r="W80" s="35"/>
    </row>
    <row r="81" spans="1:23">
      <c r="A81" s="35"/>
      <c r="B81" s="41"/>
      <c r="C81" s="40"/>
      <c r="D81" s="42"/>
      <c r="E81" s="40"/>
      <c r="F81" s="42" t="s">
        <v>199</v>
      </c>
      <c r="G81" s="42" t="s">
        <v>199</v>
      </c>
      <c r="H81" s="37"/>
      <c r="I81" s="37">
        <v>25130040</v>
      </c>
      <c r="J81" s="43">
        <f>+J80+H81-I81</f>
        <v>26067839</v>
      </c>
      <c r="K81" s="35"/>
      <c r="L81" s="37">
        <f>+H80</f>
        <v>31728901</v>
      </c>
      <c r="M81" s="51">
        <f>+L81*10%</f>
        <v>3172890.1</v>
      </c>
      <c r="N81" s="51">
        <f>+I81</f>
        <v>25130040</v>
      </c>
      <c r="O81" s="51">
        <f>I82+I83+I84+I85</f>
        <v>5490873</v>
      </c>
      <c r="P81" s="318">
        <f>+L81-M81-N81-O81</f>
        <v>-2064902.1000000015</v>
      </c>
      <c r="Q81" s="35"/>
      <c r="R81" s="35"/>
      <c r="S81" s="35"/>
      <c r="T81" s="35"/>
      <c r="U81" s="35"/>
      <c r="V81" s="35"/>
      <c r="W81" s="35"/>
    </row>
    <row r="82" spans="1:23">
      <c r="A82" s="35"/>
      <c r="B82" s="41"/>
      <c r="C82" s="40"/>
      <c r="D82" s="40"/>
      <c r="E82" s="40">
        <v>1107</v>
      </c>
      <c r="F82" s="55" t="s">
        <v>327</v>
      </c>
      <c r="G82" s="55" t="s">
        <v>327</v>
      </c>
      <c r="H82" s="37"/>
      <c r="I82" s="37">
        <v>84530</v>
      </c>
      <c r="J82" s="43">
        <f t="shared" ref="J82:J86" si="9">+J81+H82-I82</f>
        <v>25983309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</row>
    <row r="83" spans="1:23">
      <c r="A83" s="35"/>
      <c r="B83" s="41"/>
      <c r="C83" s="40"/>
      <c r="D83" s="178"/>
      <c r="E83" s="40">
        <v>1399</v>
      </c>
      <c r="F83" s="55" t="s">
        <v>327</v>
      </c>
      <c r="G83" s="55" t="s">
        <v>327</v>
      </c>
      <c r="H83" s="37"/>
      <c r="I83" s="37">
        <v>84573</v>
      </c>
      <c r="J83" s="43">
        <f t="shared" si="9"/>
        <v>25898736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</row>
    <row r="84" spans="1:23">
      <c r="A84" s="35"/>
      <c r="B84" s="41"/>
      <c r="C84" s="40"/>
      <c r="D84" s="40"/>
      <c r="E84" s="40">
        <v>1405</v>
      </c>
      <c r="F84" s="55" t="s">
        <v>327</v>
      </c>
      <c r="G84" s="55" t="s">
        <v>327</v>
      </c>
      <c r="H84" s="37"/>
      <c r="I84" s="37">
        <v>649366</v>
      </c>
      <c r="J84" s="43">
        <f t="shared" si="9"/>
        <v>25249370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</row>
    <row r="85" spans="1:23">
      <c r="A85" s="35"/>
      <c r="B85" s="41"/>
      <c r="C85" s="40"/>
      <c r="D85" s="40"/>
      <c r="E85" s="40">
        <v>1215</v>
      </c>
      <c r="F85" s="42" t="s">
        <v>275</v>
      </c>
      <c r="G85" s="42" t="s">
        <v>694</v>
      </c>
      <c r="H85" s="37"/>
      <c r="I85" s="37">
        <v>4672404</v>
      </c>
      <c r="J85" s="43">
        <f t="shared" si="9"/>
        <v>20576966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</row>
    <row r="86" spans="1:23">
      <c r="A86" s="35"/>
      <c r="B86" s="41"/>
      <c r="C86" s="40"/>
      <c r="D86" s="40"/>
      <c r="E86" s="40"/>
      <c r="F86" s="42"/>
      <c r="G86" s="42"/>
      <c r="H86" s="37"/>
      <c r="I86" s="37"/>
      <c r="J86" s="43">
        <f t="shared" si="9"/>
        <v>20576966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</row>
    <row r="87" spans="1:23">
      <c r="A87" s="35"/>
      <c r="B87" s="320" t="s">
        <v>131</v>
      </c>
      <c r="C87" s="321"/>
      <c r="D87" s="321"/>
      <c r="E87" s="321"/>
      <c r="F87" s="321"/>
      <c r="G87" s="321"/>
      <c r="H87" s="321"/>
      <c r="I87" s="321"/>
      <c r="J87" s="322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</row>
    <row r="88" spans="1:23">
      <c r="A88" s="35"/>
      <c r="B88" s="41"/>
      <c r="C88" s="40"/>
      <c r="D88" s="40"/>
      <c r="E88" s="40"/>
      <c r="F88" s="42" t="s">
        <v>171</v>
      </c>
      <c r="G88" s="42" t="s">
        <v>171</v>
      </c>
      <c r="H88" s="37">
        <f>+SUBVENCION!S4+SUBVENCION!T4</f>
        <v>31774126</v>
      </c>
      <c r="I88" s="37"/>
      <c r="J88" s="43">
        <f>+J86+H88-I88</f>
        <v>52351092</v>
      </c>
      <c r="K88" s="35" t="s">
        <v>131</v>
      </c>
      <c r="L88" s="97" t="s">
        <v>5</v>
      </c>
      <c r="M88" s="97" t="s">
        <v>214</v>
      </c>
      <c r="N88" s="97" t="s">
        <v>212</v>
      </c>
      <c r="O88" s="97" t="s">
        <v>213</v>
      </c>
      <c r="P88" s="97" t="s">
        <v>7</v>
      </c>
      <c r="Q88" s="35"/>
      <c r="R88" s="35"/>
      <c r="S88" s="35"/>
      <c r="T88" s="35"/>
      <c r="U88" s="35"/>
      <c r="V88" s="35"/>
      <c r="W88" s="35"/>
    </row>
    <row r="89" spans="1:23">
      <c r="A89" s="35"/>
      <c r="B89" s="41"/>
      <c r="C89" s="40"/>
      <c r="D89" s="40"/>
      <c r="E89" s="40"/>
      <c r="F89" s="42" t="s">
        <v>199</v>
      </c>
      <c r="G89" s="42" t="s">
        <v>199</v>
      </c>
      <c r="H89" s="37"/>
      <c r="I89" s="37">
        <v>25309341</v>
      </c>
      <c r="J89" s="43">
        <f>+J88+H89-I89</f>
        <v>27041751</v>
      </c>
      <c r="K89" s="35"/>
      <c r="L89" s="37">
        <f>+H88</f>
        <v>31774126</v>
      </c>
      <c r="M89" s="51">
        <f>+L89*10%</f>
        <v>3177412.6</v>
      </c>
      <c r="N89" s="51">
        <f>+I89</f>
        <v>25309341</v>
      </c>
      <c r="O89" s="51">
        <f>+I90+I91+I92+I93+I94+I95+I96+I97</f>
        <v>0</v>
      </c>
      <c r="P89" s="318">
        <f>+L89-M89-N89-O89</f>
        <v>3287372.3999999985</v>
      </c>
      <c r="Q89" s="35"/>
      <c r="R89" s="35"/>
      <c r="S89" s="35"/>
      <c r="T89" s="35"/>
      <c r="U89" s="35"/>
      <c r="V89" s="35"/>
      <c r="W89" s="35"/>
    </row>
    <row r="90" spans="1:23">
      <c r="A90" s="35"/>
      <c r="B90" s="41"/>
      <c r="C90" s="40"/>
      <c r="D90" s="40"/>
      <c r="E90" s="40"/>
      <c r="F90" s="55" t="s">
        <v>327</v>
      </c>
      <c r="G90" s="55" t="s">
        <v>327</v>
      </c>
      <c r="H90" s="37"/>
      <c r="I90" s="37"/>
      <c r="J90" s="43">
        <f t="shared" ref="J90:J100" si="10">+J89+H90-I90</f>
        <v>27041751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</row>
    <row r="91" spans="1:23">
      <c r="A91" s="35"/>
      <c r="B91" s="41"/>
      <c r="C91" s="40"/>
      <c r="D91" s="40"/>
      <c r="E91" s="40"/>
      <c r="F91" s="55" t="s">
        <v>327</v>
      </c>
      <c r="G91" s="55" t="s">
        <v>327</v>
      </c>
      <c r="H91" s="37"/>
      <c r="I91" s="37"/>
      <c r="J91" s="43">
        <f t="shared" si="10"/>
        <v>27041751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</row>
    <row r="92" spans="1:23">
      <c r="A92" s="35"/>
      <c r="B92" s="41"/>
      <c r="C92" s="40"/>
      <c r="D92" s="40"/>
      <c r="E92" s="40"/>
      <c r="F92" s="42"/>
      <c r="G92" s="42"/>
      <c r="H92" s="37"/>
      <c r="I92" s="37"/>
      <c r="J92" s="43">
        <f t="shared" si="10"/>
        <v>27041751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</row>
    <row r="93" spans="1:23">
      <c r="A93" s="35"/>
      <c r="B93" s="41"/>
      <c r="C93" s="40"/>
      <c r="D93" s="40"/>
      <c r="E93" s="40"/>
      <c r="F93" s="45"/>
      <c r="G93" s="42"/>
      <c r="H93" s="37"/>
      <c r="I93" s="12"/>
      <c r="J93" s="43">
        <f t="shared" si="10"/>
        <v>27041751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</row>
    <row r="94" spans="1:23" s="7" customFormat="1">
      <c r="A94" s="5"/>
      <c r="B94" s="19"/>
      <c r="C94" s="9"/>
      <c r="D94" s="9"/>
      <c r="E94" s="9"/>
      <c r="F94" s="18"/>
      <c r="G94" s="18"/>
      <c r="H94" s="12"/>
      <c r="I94" s="12"/>
      <c r="J94" s="43">
        <f t="shared" si="10"/>
        <v>27041751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1.25" customHeight="1">
      <c r="A95" s="35"/>
      <c r="B95" s="41"/>
      <c r="C95" s="40"/>
      <c r="D95" s="40"/>
      <c r="E95" s="40"/>
      <c r="F95" s="45"/>
      <c r="G95" s="42"/>
      <c r="H95" s="37"/>
      <c r="I95" s="37"/>
      <c r="J95" s="43">
        <f t="shared" si="10"/>
        <v>27041751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</row>
    <row r="96" spans="1:23" ht="11.25" customHeight="1">
      <c r="A96" s="35"/>
      <c r="B96" s="41"/>
      <c r="C96" s="40"/>
      <c r="D96" s="40"/>
      <c r="E96" s="40"/>
      <c r="F96" s="45"/>
      <c r="G96" s="42"/>
      <c r="H96" s="37"/>
      <c r="I96" s="37"/>
      <c r="J96" s="43">
        <f t="shared" si="10"/>
        <v>27041751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</row>
    <row r="97" spans="1:23" ht="11.25" customHeight="1">
      <c r="A97" s="35"/>
      <c r="B97" s="41"/>
      <c r="C97" s="40"/>
      <c r="D97" s="40"/>
      <c r="E97" s="40"/>
      <c r="F97" s="45"/>
      <c r="G97" s="42"/>
      <c r="H97" s="37"/>
      <c r="I97" s="37"/>
      <c r="J97" s="43">
        <f t="shared" si="10"/>
        <v>27041751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</row>
    <row r="98" spans="1:23" ht="11.25" customHeight="1">
      <c r="A98" s="35"/>
      <c r="B98" s="41"/>
      <c r="C98" s="40"/>
      <c r="D98" s="40"/>
      <c r="E98" s="40"/>
      <c r="F98" s="42"/>
      <c r="G98" s="45"/>
      <c r="H98" s="37"/>
      <c r="I98" s="37"/>
      <c r="J98" s="43">
        <f t="shared" si="10"/>
        <v>27041751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</row>
    <row r="99" spans="1:23" ht="11.25" customHeight="1">
      <c r="A99" s="35"/>
      <c r="B99" s="41"/>
      <c r="C99" s="40"/>
      <c r="D99" s="40"/>
      <c r="E99" s="40"/>
      <c r="F99" s="42"/>
      <c r="G99" s="45"/>
      <c r="H99" s="37"/>
      <c r="I99" s="37"/>
      <c r="J99" s="43">
        <f t="shared" si="10"/>
        <v>27041751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</row>
    <row r="100" spans="1:23" ht="11.25" customHeight="1">
      <c r="A100" s="35"/>
      <c r="B100" s="41"/>
      <c r="C100" s="40"/>
      <c r="D100" s="40"/>
      <c r="E100" s="40"/>
      <c r="F100" s="42"/>
      <c r="G100" s="45"/>
      <c r="H100" s="37"/>
      <c r="I100" s="37"/>
      <c r="J100" s="43">
        <f t="shared" si="10"/>
        <v>27041751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</row>
    <row r="101" spans="1:23" ht="11.25" customHeight="1">
      <c r="A101" s="35"/>
      <c r="B101" s="320" t="s">
        <v>132</v>
      </c>
      <c r="C101" s="321"/>
      <c r="D101" s="321"/>
      <c r="E101" s="321"/>
      <c r="F101" s="321"/>
      <c r="G101" s="321"/>
      <c r="H101" s="321"/>
      <c r="I101" s="321"/>
      <c r="J101" s="322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</row>
    <row r="102" spans="1:23" ht="11.25" customHeight="1">
      <c r="A102" s="35"/>
      <c r="B102" s="41"/>
      <c r="C102" s="40"/>
      <c r="D102" s="40"/>
      <c r="E102" s="40"/>
      <c r="F102" s="42" t="s">
        <v>171</v>
      </c>
      <c r="G102" s="42" t="s">
        <v>171</v>
      </c>
      <c r="H102" s="37">
        <f>+SUBVENCION!U4+SUBVENCION!V4</f>
        <v>0</v>
      </c>
      <c r="I102" s="37"/>
      <c r="J102" s="37">
        <f>+J100+H102-I102</f>
        <v>27041751</v>
      </c>
      <c r="K102" s="35" t="s">
        <v>132</v>
      </c>
      <c r="L102" s="97" t="s">
        <v>5</v>
      </c>
      <c r="M102" s="97" t="s">
        <v>214</v>
      </c>
      <c r="N102" s="97" t="s">
        <v>212</v>
      </c>
      <c r="O102" s="97" t="s">
        <v>213</v>
      </c>
      <c r="P102" s="97" t="s">
        <v>7</v>
      </c>
      <c r="Q102" s="35"/>
      <c r="R102" s="35"/>
      <c r="S102" s="35"/>
      <c r="T102" s="35"/>
      <c r="U102" s="35"/>
      <c r="V102" s="35"/>
      <c r="W102" s="35"/>
    </row>
    <row r="103" spans="1:23" ht="11.25" customHeight="1">
      <c r="A103" s="35"/>
      <c r="B103" s="41"/>
      <c r="C103" s="40"/>
      <c r="D103" s="40"/>
      <c r="E103" s="40"/>
      <c r="F103" s="42" t="s">
        <v>199</v>
      </c>
      <c r="G103" s="42" t="s">
        <v>199</v>
      </c>
      <c r="H103" s="37"/>
      <c r="I103" s="37"/>
      <c r="J103" s="43">
        <f>+J102+H103-I103</f>
        <v>27041751</v>
      </c>
      <c r="K103" s="35"/>
      <c r="L103" s="37">
        <f>+H102</f>
        <v>0</v>
      </c>
      <c r="M103" s="51">
        <f>+L103*10%</f>
        <v>0</v>
      </c>
      <c r="N103" s="51">
        <f>+I103</f>
        <v>0</v>
      </c>
      <c r="O103" s="51">
        <f>SUM(I104:I118)</f>
        <v>0</v>
      </c>
      <c r="P103" s="318">
        <f>+L103-M103-N103-O103</f>
        <v>0</v>
      </c>
      <c r="Q103" s="35"/>
      <c r="R103" s="35"/>
      <c r="S103" s="35"/>
      <c r="T103" s="35"/>
      <c r="U103" s="35"/>
      <c r="V103" s="35"/>
      <c r="W103" s="35"/>
    </row>
    <row r="104" spans="1:23" ht="11.25" customHeight="1">
      <c r="A104" s="35"/>
      <c r="B104" s="41"/>
      <c r="C104" s="40"/>
      <c r="D104" s="40"/>
      <c r="E104" s="40"/>
      <c r="F104" s="55" t="s">
        <v>327</v>
      </c>
      <c r="G104" s="55" t="s">
        <v>327</v>
      </c>
      <c r="H104" s="37"/>
      <c r="I104" s="37"/>
      <c r="J104" s="43">
        <f>+J103+H104-I104</f>
        <v>27041751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</row>
    <row r="105" spans="1:23" ht="11.25" customHeight="1">
      <c r="A105" s="35"/>
      <c r="B105" s="41"/>
      <c r="C105" s="40"/>
      <c r="D105" s="40"/>
      <c r="E105" s="40"/>
      <c r="F105" s="55" t="s">
        <v>327</v>
      </c>
      <c r="G105" s="55" t="s">
        <v>327</v>
      </c>
      <c r="H105" s="37"/>
      <c r="I105" s="37"/>
      <c r="J105" s="43">
        <f t="shared" ref="J105:J113" si="11">+J104+H105-I105</f>
        <v>27041751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</row>
    <row r="106" spans="1:23" ht="11.25" customHeight="1">
      <c r="A106" s="35"/>
      <c r="B106" s="41"/>
      <c r="C106" s="40"/>
      <c r="D106" s="40"/>
      <c r="E106" s="40"/>
      <c r="F106" s="42"/>
      <c r="G106" s="42"/>
      <c r="H106" s="37"/>
      <c r="I106" s="37"/>
      <c r="J106" s="43">
        <f t="shared" si="11"/>
        <v>27041751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</row>
    <row r="107" spans="1:23" ht="11.25" customHeight="1">
      <c r="A107" s="35"/>
      <c r="B107" s="41"/>
      <c r="C107" s="40"/>
      <c r="D107" s="40"/>
      <c r="E107" s="40"/>
      <c r="F107" s="18"/>
      <c r="G107" s="42"/>
      <c r="H107" s="37"/>
      <c r="I107" s="37"/>
      <c r="J107" s="43">
        <f t="shared" si="11"/>
        <v>27041751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</row>
    <row r="108" spans="1:23" ht="11.25" customHeight="1">
      <c r="A108" s="35"/>
      <c r="B108" s="41"/>
      <c r="C108" s="40"/>
      <c r="D108" s="40"/>
      <c r="E108" s="9"/>
      <c r="F108" s="18"/>
      <c r="G108" s="18"/>
      <c r="H108" s="12"/>
      <c r="I108" s="12"/>
      <c r="J108" s="8">
        <f t="shared" si="11"/>
        <v>27041751</v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</row>
    <row r="109" spans="1:23" ht="11.25" customHeight="1">
      <c r="A109" s="35"/>
      <c r="B109" s="41"/>
      <c r="C109" s="40"/>
      <c r="D109" s="40"/>
      <c r="E109" s="9"/>
      <c r="F109" s="18"/>
      <c r="G109" s="18"/>
      <c r="H109" s="12"/>
      <c r="I109" s="12"/>
      <c r="J109" s="8">
        <f t="shared" si="11"/>
        <v>27041751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</row>
    <row r="110" spans="1:23" s="7" customFormat="1" ht="11.25" customHeight="1">
      <c r="A110" s="5"/>
      <c r="B110" s="41"/>
      <c r="C110" s="40"/>
      <c r="D110" s="40"/>
      <c r="E110" s="9"/>
      <c r="F110" s="18"/>
      <c r="G110" s="18"/>
      <c r="H110" s="12"/>
      <c r="I110" s="12"/>
      <c r="J110" s="8">
        <f t="shared" si="11"/>
        <v>27041751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s="7" customFormat="1" ht="11.25" customHeight="1">
      <c r="A111" s="5"/>
      <c r="B111" s="19"/>
      <c r="C111" s="9"/>
      <c r="D111" s="9"/>
      <c r="E111" s="9"/>
      <c r="F111" s="18"/>
      <c r="G111" s="18"/>
      <c r="H111" s="12"/>
      <c r="I111" s="12"/>
      <c r="J111" s="8">
        <f t="shared" si="11"/>
        <v>27041751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s="7" customFormat="1" ht="11.25" customHeight="1">
      <c r="A112" s="5"/>
      <c r="B112" s="41"/>
      <c r="C112" s="40"/>
      <c r="D112" s="40"/>
      <c r="E112" s="9"/>
      <c r="F112" s="18"/>
      <c r="G112" s="18"/>
      <c r="H112" s="12"/>
      <c r="I112" s="12"/>
      <c r="J112" s="8">
        <f t="shared" si="11"/>
        <v>27041751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s="7" customFormat="1" ht="11.25" customHeight="1">
      <c r="A113" s="5"/>
      <c r="B113" s="19"/>
      <c r="C113" s="9"/>
      <c r="D113" s="9"/>
      <c r="E113" s="9"/>
      <c r="F113" s="18"/>
      <c r="G113" s="18"/>
      <c r="H113" s="12"/>
      <c r="I113" s="12"/>
      <c r="J113" s="8">
        <f t="shared" si="11"/>
        <v>27041751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s="7" customFormat="1" ht="11.25" customHeight="1">
      <c r="A114" s="5"/>
      <c r="B114" s="206"/>
      <c r="C114" s="207"/>
      <c r="D114" s="207"/>
      <c r="E114" s="207"/>
      <c r="F114" s="208"/>
      <c r="G114" s="208"/>
      <c r="H114" s="209"/>
      <c r="I114" s="209"/>
      <c r="J114" s="8">
        <f>+J113+H114-I114</f>
        <v>27041751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s="7" customFormat="1" ht="11.25" customHeight="1">
      <c r="A115" s="5"/>
      <c r="B115" s="19"/>
      <c r="C115" s="9"/>
      <c r="D115" s="9"/>
      <c r="E115" s="9"/>
      <c r="F115" s="45"/>
      <c r="G115" s="42"/>
      <c r="H115" s="12"/>
      <c r="I115" s="12"/>
      <c r="J115" s="8">
        <f>+J114+H115-I115</f>
        <v>27041751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s="7" customFormat="1" ht="11.25" customHeight="1">
      <c r="A116" s="5"/>
      <c r="B116" s="19"/>
      <c r="C116" s="9"/>
      <c r="D116" s="9"/>
      <c r="E116" s="9"/>
      <c r="F116" s="45"/>
      <c r="G116" s="42"/>
      <c r="H116" s="12"/>
      <c r="I116" s="12"/>
      <c r="J116" s="8">
        <f>+J115+H116-I116</f>
        <v>27041751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s="7" customFormat="1" ht="11.25" customHeight="1">
      <c r="A117" s="5"/>
      <c r="B117" s="19"/>
      <c r="C117" s="9"/>
      <c r="D117" s="9"/>
      <c r="E117" s="9"/>
      <c r="F117" s="45"/>
      <c r="G117" s="42"/>
      <c r="H117" s="12"/>
      <c r="I117" s="12"/>
      <c r="J117" s="8">
        <f>+J116+H117-I117</f>
        <v>27041751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s="7" customFormat="1" ht="11.25" customHeight="1">
      <c r="A118" s="5"/>
      <c r="B118" s="19"/>
      <c r="C118" s="9"/>
      <c r="D118" s="9"/>
      <c r="E118" s="9"/>
      <c r="F118" s="45"/>
      <c r="G118" s="42"/>
      <c r="H118" s="12"/>
      <c r="I118" s="12"/>
      <c r="J118" s="8">
        <f>+J117+H118-I118</f>
        <v>27041751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1.25" customHeight="1">
      <c r="A119" s="35"/>
      <c r="B119" s="320" t="s">
        <v>133</v>
      </c>
      <c r="C119" s="321"/>
      <c r="D119" s="321"/>
      <c r="E119" s="321"/>
      <c r="F119" s="321"/>
      <c r="G119" s="321"/>
      <c r="H119" s="321"/>
      <c r="I119" s="321"/>
      <c r="J119" s="322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</row>
    <row r="120" spans="1:23" ht="11.25" customHeight="1">
      <c r="A120" s="35"/>
      <c r="B120" s="41"/>
      <c r="C120" s="40"/>
      <c r="D120" s="40"/>
      <c r="E120" s="40"/>
      <c r="F120" s="42" t="s">
        <v>171</v>
      </c>
      <c r="G120" s="42" t="s">
        <v>171</v>
      </c>
      <c r="H120" s="37">
        <f>+SUBVENCION!W4+SUBVENCION!X4</f>
        <v>0</v>
      </c>
      <c r="I120" s="37"/>
      <c r="J120" s="43">
        <f>J118+H120-I120</f>
        <v>27041751</v>
      </c>
      <c r="K120" s="35" t="s">
        <v>133</v>
      </c>
      <c r="L120" s="97" t="s">
        <v>5</v>
      </c>
      <c r="M120" s="97" t="s">
        <v>214</v>
      </c>
      <c r="N120" s="97" t="s">
        <v>212</v>
      </c>
      <c r="O120" s="97" t="s">
        <v>213</v>
      </c>
      <c r="P120" s="97" t="s">
        <v>7</v>
      </c>
      <c r="Q120" s="35"/>
      <c r="R120" s="35"/>
      <c r="S120" s="35"/>
      <c r="T120" s="35"/>
      <c r="U120" s="35"/>
      <c r="V120" s="35"/>
      <c r="W120" s="35"/>
    </row>
    <row r="121" spans="1:23" ht="11.25" customHeight="1">
      <c r="A121" s="35"/>
      <c r="B121" s="41"/>
      <c r="C121" s="40"/>
      <c r="D121" s="40"/>
      <c r="E121" s="40"/>
      <c r="F121" s="42" t="s">
        <v>199</v>
      </c>
      <c r="G121" s="42" t="s">
        <v>199</v>
      </c>
      <c r="H121" s="37"/>
      <c r="I121" s="37"/>
      <c r="J121" s="43">
        <f>+J120+H121-I121</f>
        <v>27041751</v>
      </c>
      <c r="K121" s="35"/>
      <c r="L121" s="37">
        <f>+H120</f>
        <v>0</v>
      </c>
      <c r="M121" s="51">
        <f>+L121*10%</f>
        <v>0</v>
      </c>
      <c r="N121" s="51">
        <f>+I121</f>
        <v>0</v>
      </c>
      <c r="O121" s="51">
        <f>SUM(I122:I133)</f>
        <v>0</v>
      </c>
      <c r="P121" s="318">
        <f>+L121-M121-N121-O121</f>
        <v>0</v>
      </c>
      <c r="Q121" s="35"/>
      <c r="R121" s="35"/>
      <c r="S121" s="35"/>
      <c r="T121" s="35"/>
      <c r="U121" s="35"/>
      <c r="V121" s="35"/>
      <c r="W121" s="35"/>
    </row>
    <row r="122" spans="1:23" ht="11.25" customHeight="1">
      <c r="A122" s="35"/>
      <c r="B122" s="41"/>
      <c r="C122" s="40"/>
      <c r="D122" s="40"/>
      <c r="E122" s="40"/>
      <c r="F122" s="55" t="s">
        <v>327</v>
      </c>
      <c r="G122" s="55" t="s">
        <v>327</v>
      </c>
      <c r="H122" s="37"/>
      <c r="I122" s="37"/>
      <c r="J122" s="43">
        <f t="shared" ref="J122:J133" si="12">+J121+H122-I122</f>
        <v>27041751</v>
      </c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</row>
    <row r="123" spans="1:23" ht="11.25" customHeight="1">
      <c r="A123" s="35"/>
      <c r="B123" s="41"/>
      <c r="C123" s="40"/>
      <c r="D123" s="40"/>
      <c r="E123" s="40"/>
      <c r="F123" s="55" t="s">
        <v>327</v>
      </c>
      <c r="G123" s="55" t="s">
        <v>327</v>
      </c>
      <c r="H123" s="37"/>
      <c r="I123" s="37"/>
      <c r="J123" s="43">
        <f t="shared" si="12"/>
        <v>27041751</v>
      </c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</row>
    <row r="124" spans="1:23" ht="11.25" customHeight="1">
      <c r="A124" s="35"/>
      <c r="B124" s="41"/>
      <c r="C124" s="40"/>
      <c r="D124" s="40"/>
      <c r="E124" s="40"/>
      <c r="F124" s="42"/>
      <c r="G124" s="45"/>
      <c r="H124" s="37"/>
      <c r="I124" s="37"/>
      <c r="J124" s="43">
        <f t="shared" si="12"/>
        <v>27041751</v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</row>
    <row r="125" spans="1:23" ht="11.25" customHeight="1">
      <c r="A125" s="35"/>
      <c r="B125" s="41"/>
      <c r="C125" s="40"/>
      <c r="D125" s="40"/>
      <c r="E125" s="40"/>
      <c r="F125" s="45"/>
      <c r="G125" s="42"/>
      <c r="H125" s="37"/>
      <c r="I125" s="12"/>
      <c r="J125" s="43">
        <f t="shared" si="12"/>
        <v>27041751</v>
      </c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</row>
    <row r="126" spans="1:23" ht="11.25" customHeight="1">
      <c r="A126" s="35"/>
      <c r="B126" s="41"/>
      <c r="C126" s="40"/>
      <c r="D126" s="40"/>
      <c r="E126" s="40"/>
      <c r="F126" s="18"/>
      <c r="G126" s="18"/>
      <c r="H126" s="37"/>
      <c r="I126" s="37"/>
      <c r="J126" s="43">
        <f t="shared" si="12"/>
        <v>27041751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</row>
    <row r="127" spans="1:23" ht="11.25" customHeight="1">
      <c r="A127" s="35"/>
      <c r="B127" s="41"/>
      <c r="C127" s="40"/>
      <c r="D127" s="40"/>
      <c r="E127" s="40"/>
      <c r="F127" s="18"/>
      <c r="G127" s="18"/>
      <c r="H127" s="37"/>
      <c r="I127" s="37"/>
      <c r="J127" s="43">
        <f t="shared" si="12"/>
        <v>27041751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</row>
    <row r="128" spans="1:23" ht="11.25" customHeight="1">
      <c r="A128" s="35"/>
      <c r="B128" s="41"/>
      <c r="C128" s="40"/>
      <c r="D128" s="40"/>
      <c r="E128" s="40"/>
      <c r="F128" s="45"/>
      <c r="G128" s="42"/>
      <c r="H128" s="37"/>
      <c r="I128" s="37"/>
      <c r="J128" s="43">
        <f t="shared" si="12"/>
        <v>27041751</v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</row>
    <row r="129" spans="1:23" ht="11.25" customHeight="1">
      <c r="A129" s="35"/>
      <c r="B129" s="41"/>
      <c r="C129" s="40"/>
      <c r="D129" s="40"/>
      <c r="E129" s="40"/>
      <c r="F129" s="45"/>
      <c r="G129" s="42"/>
      <c r="H129" s="37"/>
      <c r="I129" s="37"/>
      <c r="J129" s="43">
        <f t="shared" si="12"/>
        <v>27041751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</row>
    <row r="130" spans="1:23" ht="11.25" customHeight="1">
      <c r="A130" s="35"/>
      <c r="B130" s="41"/>
      <c r="C130" s="40"/>
      <c r="D130" s="40"/>
      <c r="E130" s="40"/>
      <c r="F130" s="45"/>
      <c r="G130" s="42"/>
      <c r="H130" s="37"/>
      <c r="I130" s="37"/>
      <c r="J130" s="43">
        <f t="shared" si="12"/>
        <v>27041751</v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</row>
    <row r="131" spans="1:23" ht="11.25" customHeight="1">
      <c r="A131" s="35"/>
      <c r="B131" s="41"/>
      <c r="C131" s="40"/>
      <c r="D131" s="40"/>
      <c r="E131" s="40"/>
      <c r="F131" s="18"/>
      <c r="G131" s="18"/>
      <c r="H131" s="37"/>
      <c r="I131" s="37"/>
      <c r="J131" s="43">
        <f t="shared" si="12"/>
        <v>27041751</v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</row>
    <row r="132" spans="1:23" ht="11.25" customHeight="1">
      <c r="A132" s="35"/>
      <c r="B132" s="41"/>
      <c r="C132" s="40"/>
      <c r="D132" s="40"/>
      <c r="E132" s="40"/>
      <c r="F132" s="18"/>
      <c r="G132" s="18"/>
      <c r="H132" s="37"/>
      <c r="I132" s="37"/>
      <c r="J132" s="43">
        <f t="shared" si="12"/>
        <v>27041751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</row>
    <row r="133" spans="1:23" ht="11.25" customHeight="1">
      <c r="A133" s="35"/>
      <c r="B133" s="41"/>
      <c r="C133" s="40"/>
      <c r="D133" s="40"/>
      <c r="E133" s="40"/>
      <c r="F133" s="18"/>
      <c r="G133" s="18"/>
      <c r="H133" s="37"/>
      <c r="I133" s="37"/>
      <c r="J133" s="43">
        <f t="shared" si="12"/>
        <v>27041751</v>
      </c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</row>
    <row r="134" spans="1:23" ht="11.25" customHeight="1">
      <c r="A134" s="35"/>
      <c r="B134" s="320" t="s">
        <v>134</v>
      </c>
      <c r="C134" s="321"/>
      <c r="D134" s="321"/>
      <c r="E134" s="321"/>
      <c r="F134" s="321"/>
      <c r="G134" s="321"/>
      <c r="H134" s="321"/>
      <c r="I134" s="321"/>
      <c r="J134" s="322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</row>
    <row r="135" spans="1:23" ht="11.25" customHeight="1">
      <c r="A135" s="35"/>
      <c r="B135" s="41"/>
      <c r="C135" s="40"/>
      <c r="D135" s="40"/>
      <c r="E135" s="40"/>
      <c r="F135" s="42" t="s">
        <v>171</v>
      </c>
      <c r="G135" s="42" t="s">
        <v>171</v>
      </c>
      <c r="H135" s="37">
        <f>+SUBVENCION!Y4+SUBVENCION!Z4</f>
        <v>0</v>
      </c>
      <c r="I135" s="37"/>
      <c r="J135" s="43">
        <f>+J133+H135-I135</f>
        <v>27041751</v>
      </c>
      <c r="K135" s="35" t="s">
        <v>134</v>
      </c>
      <c r="L135" s="97" t="s">
        <v>5</v>
      </c>
      <c r="M135" s="97" t="s">
        <v>214</v>
      </c>
      <c r="N135" s="97" t="s">
        <v>212</v>
      </c>
      <c r="O135" s="97" t="s">
        <v>213</v>
      </c>
      <c r="P135" s="97" t="s">
        <v>7</v>
      </c>
      <c r="Q135" s="35"/>
      <c r="R135" s="35"/>
      <c r="S135" s="35"/>
      <c r="T135" s="35"/>
      <c r="U135" s="35"/>
      <c r="V135" s="35"/>
      <c r="W135" s="35"/>
    </row>
    <row r="136" spans="1:23" ht="11.25" customHeight="1">
      <c r="A136" s="35"/>
      <c r="B136" s="41"/>
      <c r="C136" s="40"/>
      <c r="D136" s="40"/>
      <c r="E136" s="40"/>
      <c r="F136" s="42" t="s">
        <v>199</v>
      </c>
      <c r="G136" s="42" t="s">
        <v>199</v>
      </c>
      <c r="H136" s="37"/>
      <c r="I136" s="37"/>
      <c r="J136" s="43">
        <f>+J135+H136-I136</f>
        <v>27041751</v>
      </c>
      <c r="K136" s="35"/>
      <c r="L136" s="37">
        <f>+H135</f>
        <v>0</v>
      </c>
      <c r="M136" s="51">
        <f>+L136*10%</f>
        <v>0</v>
      </c>
      <c r="N136" s="51">
        <f>+I136</f>
        <v>0</v>
      </c>
      <c r="O136" s="51">
        <f>SUM(I137:I143)</f>
        <v>0</v>
      </c>
      <c r="P136" s="318">
        <f>+L136-M136-N136-O136</f>
        <v>0</v>
      </c>
      <c r="Q136" s="35"/>
      <c r="R136" s="35"/>
      <c r="S136" s="35"/>
      <c r="T136" s="35"/>
      <c r="U136" s="35"/>
      <c r="V136" s="35"/>
      <c r="W136" s="35"/>
    </row>
    <row r="137" spans="1:23" ht="11.25" customHeight="1">
      <c r="A137" s="35"/>
      <c r="B137" s="41"/>
      <c r="C137" s="40"/>
      <c r="D137" s="40"/>
      <c r="E137" s="40"/>
      <c r="F137" s="55" t="s">
        <v>327</v>
      </c>
      <c r="G137" s="55" t="s">
        <v>327</v>
      </c>
      <c r="H137" s="37"/>
      <c r="I137" s="37"/>
      <c r="J137" s="43">
        <f>+J136+H137-I137</f>
        <v>27041751</v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</row>
    <row r="138" spans="1:23" ht="11.25" customHeight="1">
      <c r="A138" s="35"/>
      <c r="B138" s="41"/>
      <c r="C138" s="40"/>
      <c r="D138" s="40"/>
      <c r="E138" s="9"/>
      <c r="F138" s="55" t="s">
        <v>327</v>
      </c>
      <c r="G138" s="55" t="s">
        <v>327</v>
      </c>
      <c r="H138" s="37"/>
      <c r="I138" s="37"/>
      <c r="J138" s="43">
        <f>+J137+H138-I138</f>
        <v>27041751</v>
      </c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</row>
    <row r="139" spans="1:23" ht="11.25" customHeight="1">
      <c r="A139" s="35"/>
      <c r="B139" s="41"/>
      <c r="C139" s="40"/>
      <c r="D139" s="40"/>
      <c r="E139" s="40"/>
      <c r="F139" s="45"/>
      <c r="G139" s="42"/>
      <c r="H139" s="37"/>
      <c r="I139" s="37"/>
      <c r="J139" s="43">
        <f t="shared" ref="J139:J144" si="13">+J138+H139-I139</f>
        <v>27041751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</row>
    <row r="140" spans="1:23" ht="11.25" customHeight="1">
      <c r="A140" s="35"/>
      <c r="B140" s="41"/>
      <c r="C140" s="40"/>
      <c r="D140" s="40"/>
      <c r="E140" s="40"/>
      <c r="F140" s="42"/>
      <c r="G140" s="45"/>
      <c r="H140" s="37"/>
      <c r="I140" s="12"/>
      <c r="J140" s="43">
        <f t="shared" si="13"/>
        <v>27041751</v>
      </c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</row>
    <row r="141" spans="1:23" ht="11.25" customHeight="1">
      <c r="A141" s="35"/>
      <c r="B141" s="41"/>
      <c r="C141" s="40"/>
      <c r="D141" s="40"/>
      <c r="E141" s="40"/>
      <c r="F141" s="42"/>
      <c r="G141" s="42"/>
      <c r="H141" s="37"/>
      <c r="I141" s="12"/>
      <c r="J141" s="43">
        <f t="shared" si="13"/>
        <v>27041751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</row>
    <row r="142" spans="1:23" ht="11.25" customHeight="1">
      <c r="A142" s="35"/>
      <c r="B142" s="41"/>
      <c r="C142" s="40"/>
      <c r="D142" s="40"/>
      <c r="E142" s="40"/>
      <c r="F142" s="42"/>
      <c r="G142" s="42"/>
      <c r="H142" s="37"/>
      <c r="I142" s="37"/>
      <c r="J142" s="43">
        <f t="shared" si="13"/>
        <v>27041751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</row>
    <row r="143" spans="1:23" ht="11.25" customHeight="1">
      <c r="A143" s="35"/>
      <c r="B143" s="41"/>
      <c r="C143" s="40"/>
      <c r="D143" s="40"/>
      <c r="E143" s="40"/>
      <c r="F143" s="42"/>
      <c r="G143" s="42"/>
      <c r="H143" s="37"/>
      <c r="I143" s="37"/>
      <c r="J143" s="43">
        <f t="shared" si="13"/>
        <v>27041751</v>
      </c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</row>
    <row r="144" spans="1:23">
      <c r="A144" s="35"/>
      <c r="B144" s="41"/>
      <c r="C144" s="40"/>
      <c r="D144" s="40"/>
      <c r="E144" s="40"/>
      <c r="F144" s="42" t="s">
        <v>201</v>
      </c>
      <c r="G144" s="42" t="s">
        <v>170</v>
      </c>
      <c r="H144" s="37">
        <f>(H11+H19+H24+H38+H49+H61+H72+H80+H88+H102+H120+H135)*-10%</f>
        <v>-31366217.900000002</v>
      </c>
      <c r="I144" s="37"/>
      <c r="J144" s="43">
        <f t="shared" si="13"/>
        <v>-4324466.9000000022</v>
      </c>
      <c r="K144" s="35" t="s">
        <v>215</v>
      </c>
      <c r="L144" s="97" t="s">
        <v>5</v>
      </c>
      <c r="M144" s="97" t="s">
        <v>214</v>
      </c>
      <c r="N144" s="97" t="s">
        <v>212</v>
      </c>
      <c r="O144" s="97" t="s">
        <v>213</v>
      </c>
      <c r="P144" s="97" t="s">
        <v>7</v>
      </c>
      <c r="Q144" s="35"/>
      <c r="R144" s="35"/>
      <c r="S144" s="35"/>
      <c r="T144" s="35"/>
      <c r="U144" s="35"/>
      <c r="V144" s="35"/>
      <c r="W144" s="35"/>
    </row>
    <row r="145" spans="1:23">
      <c r="A145" s="48"/>
      <c r="B145" s="46" t="s">
        <v>8</v>
      </c>
      <c r="C145" s="97" t="s">
        <v>8</v>
      </c>
      <c r="D145" s="97"/>
      <c r="E145" s="97"/>
      <c r="F145" s="97"/>
      <c r="G145" s="97" t="s">
        <v>9</v>
      </c>
      <c r="H145" s="38">
        <f>SUM(H11:H144)</f>
        <v>282295961.10000002</v>
      </c>
      <c r="I145" s="38">
        <f>SUM(I9:I143)</f>
        <v>286620428</v>
      </c>
      <c r="J145" s="38">
        <f>+H145-I145</f>
        <v>-4324466.8999999762</v>
      </c>
      <c r="K145" s="48"/>
      <c r="L145" s="37">
        <f>+H11+H19+H24+H38+H49+H61+H72+H80+H88+H102+H120+H135</f>
        <v>313662179</v>
      </c>
      <c r="M145" s="51">
        <f>+L145*10%</f>
        <v>31366217.900000002</v>
      </c>
      <c r="N145" s="51">
        <f>+I12+I20+I25+I39+I50+I62+I73+I81+I89+I103+I121+I136</f>
        <v>228942771</v>
      </c>
      <c r="O145" s="51">
        <f>+I21+I14+I15+I16+I17+I13+I26+I35+I36+I22+I27+I28+I29+I30+I31+I32+I33+I34+I40+I41+I42+I43+I44+I45+I46+I47+I51+I52+I53+I54+I55+I56+I57+I58+I59++I63+I64+I65+I66+I67+I68+I69+I70++I74+I75+I76+I77+I78+I82+I83+I84+I85+I86+I90+I91+I92+I93+I94+I95+I96+I97+I98+I99+I100+I104+I105+I106+I107+I109+I122+I126+I138+I139+I140+I141</f>
        <v>57677657</v>
      </c>
      <c r="P145" s="153">
        <f>+L145-M145-N145-O145</f>
        <v>-4324466.8999999762</v>
      </c>
      <c r="Q145" s="48"/>
      <c r="R145" s="48"/>
      <c r="S145" s="48"/>
      <c r="T145" s="48"/>
      <c r="U145" s="48"/>
      <c r="V145" s="48"/>
      <c r="W145" s="48"/>
    </row>
    <row r="147" spans="1:23">
      <c r="P147" s="154">
        <f>+P12+P20+P25+P39+P50+P62+P73+P81+P89+P103+P121+P136</f>
        <v>-4324466.900000006</v>
      </c>
    </row>
    <row r="149" spans="1:23">
      <c r="G149" s="44" t="s">
        <v>210</v>
      </c>
      <c r="H149" s="97" t="s">
        <v>5</v>
      </c>
      <c r="I149" s="97" t="s">
        <v>6</v>
      </c>
      <c r="J149" s="97" t="s">
        <v>198</v>
      </c>
    </row>
    <row r="150" spans="1:23">
      <c r="H150" s="37">
        <f>+H145</f>
        <v>282295961.10000002</v>
      </c>
      <c r="I150" s="43">
        <f>+I145</f>
        <v>286620428</v>
      </c>
      <c r="J150" s="143">
        <f>+I150*100/H150</f>
        <v>101.5318911695191</v>
      </c>
    </row>
  </sheetData>
  <autoFilter ref="A8:W145" xr:uid="{00000000-0009-0000-0000-000003000000}">
    <filterColumn colId="6">
      <filters blank="1">
        <filter val="BALONES"/>
        <filter val="COMPUMAT"/>
        <filter val="ELECTRODOMESTICOS TALLER GASTR"/>
        <filter val="ENTRADAS BUIN ZOO"/>
        <filter val="EXAMEN INGLES"/>
        <filter val="GOMA EVA Y OTROS"/>
        <filter val="IMPLEMENTOS DEPORTIVOS"/>
        <filter val="INCENTIVO"/>
        <filter val="INSUMOS ATLLER DANZA"/>
        <filter val="INSUMOS TALLER PRIMEROS AUXILIOS"/>
        <filter val="JUEGOS"/>
        <filter val="JUEGOS DIDACTICOS"/>
        <filter val="LIBRERÍA"/>
        <filter val="LIBROS"/>
        <filter val="LIBROS JUGANDO SONIDOS"/>
        <filter val="MANTENCION UPS"/>
        <filter val="MATERIALES ARTES"/>
        <filter val="MEDALLAS"/>
        <filter val="MULTIFUNCIONAL"/>
        <filter val="PROTOCOLOS"/>
        <filter val="SALDO SEP 2024"/>
        <filter val="SERV FOTOGRAFICO"/>
        <filter val="SET AJEDREZ"/>
        <filter val="SET EJEDREZ"/>
        <filter val="SUBVENCION"/>
        <filter val="TARSLADO MIM"/>
        <filter val="TELAS TALLER ARTES"/>
        <filter val="TINTAS"/>
        <filter val="TONER"/>
        <filter val="TORTAS"/>
        <filter val="TOTAL"/>
        <filter val="TRANSPORTE A BUIN ZOO"/>
        <filter val="UTILES ESCOLARES"/>
      </filters>
    </filterColumn>
  </autoFilter>
  <mergeCells count="18">
    <mergeCell ref="B134:J134"/>
    <mergeCell ref="B60:J60"/>
    <mergeCell ref="B48:J48"/>
    <mergeCell ref="B37:J37"/>
    <mergeCell ref="B7:J7"/>
    <mergeCell ref="B10:J10"/>
    <mergeCell ref="B18:J18"/>
    <mergeCell ref="B23:J23"/>
    <mergeCell ref="B119:J119"/>
    <mergeCell ref="B101:J101"/>
    <mergeCell ref="B87:J87"/>
    <mergeCell ref="B79:J79"/>
    <mergeCell ref="B71:J71"/>
    <mergeCell ref="B2:J2"/>
    <mergeCell ref="B3:J3"/>
    <mergeCell ref="B6:J6"/>
    <mergeCell ref="B5:J5"/>
    <mergeCell ref="B4:J4"/>
  </mergeCells>
  <conditionalFormatting sqref="H1:J78">
    <cfRule type="cellIs" dxfId="174" priority="1" operator="lessThan">
      <formula>0</formula>
    </cfRule>
  </conditionalFormatting>
  <conditionalFormatting sqref="H80:J86">
    <cfRule type="cellIs" dxfId="173" priority="6" operator="lessThan">
      <formula>0</formula>
    </cfRule>
  </conditionalFormatting>
  <conditionalFormatting sqref="H88:J100">
    <cfRule type="cellIs" dxfId="172" priority="5" operator="lessThan">
      <formula>0</formula>
    </cfRule>
  </conditionalFormatting>
  <conditionalFormatting sqref="H102:J118">
    <cfRule type="cellIs" dxfId="171" priority="4" operator="lessThan">
      <formula>0</formula>
    </cfRule>
  </conditionalFormatting>
  <conditionalFormatting sqref="H120:J133">
    <cfRule type="cellIs" dxfId="170" priority="3" operator="lessThan">
      <formula>0</formula>
    </cfRule>
  </conditionalFormatting>
  <conditionalFormatting sqref="H135:J148">
    <cfRule type="cellIs" dxfId="169" priority="2" operator="lessThan">
      <formula>0</formula>
    </cfRule>
  </conditionalFormatting>
  <conditionalFormatting sqref="H151:J1048576">
    <cfRule type="cellIs" dxfId="168" priority="67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4" orientation="portrait" r:id="rId1"/>
  <ignoredErrors>
    <ignoredError sqref="J12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51"/>
  <sheetViews>
    <sheetView showGridLines="0" topLeftCell="A108" zoomScaleNormal="100" workbookViewId="0">
      <selection activeCell="L145" sqref="L145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4.7109375" style="108" bestFit="1" customWidth="1"/>
    <col min="6" max="6" width="25.7109375" style="44" bestFit="1" customWidth="1"/>
    <col min="7" max="7" width="28.140625" style="44" customWidth="1"/>
    <col min="8" max="8" width="13.140625" style="44" bestFit="1" customWidth="1"/>
    <col min="9" max="9" width="11.42578125" style="44"/>
    <col min="10" max="10" width="11.7109375" style="44" bestFit="1" customWidth="1"/>
    <col min="11" max="16384" width="11.42578125" style="44"/>
  </cols>
  <sheetData>
    <row r="1" spans="1:16">
      <c r="A1" s="35"/>
      <c r="B1" s="35"/>
      <c r="C1" s="35"/>
      <c r="D1" s="35"/>
      <c r="E1" s="105"/>
      <c r="F1" s="35"/>
      <c r="G1" s="35"/>
      <c r="H1" s="35"/>
      <c r="I1" s="35"/>
      <c r="J1" s="35"/>
    </row>
    <row r="2" spans="1:16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</row>
    <row r="3" spans="1:16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</row>
    <row r="4" spans="1:16">
      <c r="A4" s="35"/>
      <c r="B4" s="327" t="s">
        <v>81</v>
      </c>
      <c r="C4" s="328"/>
      <c r="D4" s="328"/>
      <c r="E4" s="328"/>
      <c r="F4" s="328"/>
      <c r="G4" s="328"/>
      <c r="H4" s="328"/>
      <c r="I4" s="328"/>
      <c r="J4" s="329"/>
    </row>
    <row r="5" spans="1:16">
      <c r="A5" s="35"/>
      <c r="B5" s="327" t="s">
        <v>203</v>
      </c>
      <c r="C5" s="328"/>
      <c r="D5" s="328"/>
      <c r="E5" s="328"/>
      <c r="F5" s="328"/>
      <c r="G5" s="328"/>
      <c r="H5" s="328"/>
      <c r="I5" s="328"/>
      <c r="J5" s="329"/>
    </row>
    <row r="6" spans="1:16">
      <c r="A6" s="35"/>
      <c r="B6" s="327" t="s">
        <v>74</v>
      </c>
      <c r="C6" s="328"/>
      <c r="D6" s="328"/>
      <c r="E6" s="328"/>
      <c r="F6" s="328"/>
      <c r="G6" s="328"/>
      <c r="H6" s="328"/>
      <c r="I6" s="328"/>
      <c r="J6" s="329"/>
    </row>
    <row r="7" spans="1:16">
      <c r="A7" s="35"/>
      <c r="B7" s="327" t="s">
        <v>80</v>
      </c>
      <c r="C7" s="328"/>
      <c r="D7" s="328"/>
      <c r="E7" s="328"/>
      <c r="F7" s="328"/>
      <c r="G7" s="328"/>
      <c r="H7" s="328"/>
      <c r="I7" s="328"/>
      <c r="J7" s="329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>
      <c r="A9" s="35"/>
      <c r="B9" s="47"/>
      <c r="C9" s="40"/>
      <c r="D9" s="40"/>
      <c r="E9" s="40"/>
      <c r="F9" s="40"/>
      <c r="G9" s="45" t="s">
        <v>237</v>
      </c>
      <c r="H9" s="37">
        <f>'[1]F-405'!$J$125</f>
        <v>1076784.1999999881</v>
      </c>
      <c r="I9" s="37"/>
      <c r="J9" s="43">
        <f>+H9-I9</f>
        <v>1076784.1999999881</v>
      </c>
    </row>
    <row r="10" spans="1:16" s="49" customForma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</row>
    <row r="11" spans="1:16">
      <c r="A11" s="35"/>
      <c r="B11" s="47"/>
      <c r="C11" s="40"/>
      <c r="D11" s="40"/>
      <c r="E11" s="40"/>
      <c r="F11" s="42" t="s">
        <v>171</v>
      </c>
      <c r="G11" s="42" t="s">
        <v>171</v>
      </c>
      <c r="H11" s="37">
        <f>SUBVENCION!C9+SUBVENCION!D9</f>
        <v>12694999</v>
      </c>
      <c r="I11" s="37"/>
      <c r="J11" s="43">
        <f>J9+H11-I11</f>
        <v>13771783.199999988</v>
      </c>
      <c r="K11" s="44" t="s">
        <v>66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</row>
    <row r="12" spans="1:16">
      <c r="A12" s="35"/>
      <c r="B12" s="47"/>
      <c r="C12" s="40"/>
      <c r="D12" s="40"/>
      <c r="E12" s="40"/>
      <c r="F12" s="42" t="s">
        <v>199</v>
      </c>
      <c r="G12" s="42" t="s">
        <v>199</v>
      </c>
      <c r="H12" s="37"/>
      <c r="I12" s="37">
        <v>7861759</v>
      </c>
      <c r="J12" s="43">
        <f>+J11+H12-I12</f>
        <v>5910024.1999999881</v>
      </c>
      <c r="L12" s="37">
        <f>+H11</f>
        <v>12694999</v>
      </c>
      <c r="M12" s="51">
        <f>+L12*10%</f>
        <v>1269499.9000000001</v>
      </c>
      <c r="N12" s="51">
        <f>+I12</f>
        <v>7861759</v>
      </c>
      <c r="O12" s="51">
        <f>I13</f>
        <v>38773</v>
      </c>
      <c r="P12" s="303">
        <f>+L12-M12-N12-O12</f>
        <v>3524967.0999999996</v>
      </c>
    </row>
    <row r="13" spans="1:16">
      <c r="A13" s="35"/>
      <c r="B13" s="47"/>
      <c r="C13" s="40"/>
      <c r="D13" s="40"/>
      <c r="E13" s="97">
        <v>12</v>
      </c>
      <c r="F13" s="55" t="s">
        <v>327</v>
      </c>
      <c r="G13" s="55" t="s">
        <v>327</v>
      </c>
      <c r="H13" s="37"/>
      <c r="I13" s="37">
        <v>38773</v>
      </c>
      <c r="J13" s="43">
        <f>+J12+H13-I13</f>
        <v>5871251.1999999881</v>
      </c>
      <c r="L13" s="155"/>
      <c r="M13" s="156"/>
      <c r="N13" s="156"/>
      <c r="O13" s="156"/>
      <c r="P13" s="157"/>
    </row>
    <row r="14" spans="1:16">
      <c r="A14" s="35"/>
      <c r="B14" s="330" t="s">
        <v>67</v>
      </c>
      <c r="C14" s="331"/>
      <c r="D14" s="331"/>
      <c r="E14" s="331"/>
      <c r="F14" s="331"/>
      <c r="G14" s="331"/>
      <c r="H14" s="331"/>
      <c r="I14" s="331"/>
      <c r="J14" s="332"/>
    </row>
    <row r="15" spans="1:16">
      <c r="A15" s="35"/>
      <c r="B15" s="47"/>
      <c r="C15" s="109"/>
      <c r="D15" s="40"/>
      <c r="E15" s="40"/>
      <c r="F15" s="42" t="s">
        <v>171</v>
      </c>
      <c r="G15" s="42" t="s">
        <v>171</v>
      </c>
      <c r="H15" s="37">
        <f>SUBVENCION!E9+SUBVENCION!F9</f>
        <v>13454884</v>
      </c>
      <c r="I15" s="37"/>
      <c r="J15" s="43">
        <f>+J13+H15-I15</f>
        <v>19326135.199999988</v>
      </c>
      <c r="K15" s="44" t="s">
        <v>67</v>
      </c>
      <c r="L15" s="97" t="s">
        <v>5</v>
      </c>
      <c r="M15" s="97" t="s">
        <v>214</v>
      </c>
      <c r="N15" s="97" t="s">
        <v>212</v>
      </c>
      <c r="O15" s="97" t="s">
        <v>213</v>
      </c>
      <c r="P15" s="97" t="s">
        <v>7</v>
      </c>
    </row>
    <row r="16" spans="1:16">
      <c r="A16" s="35"/>
      <c r="B16" s="41"/>
      <c r="C16" s="42"/>
      <c r="D16" s="42"/>
      <c r="E16" s="40"/>
      <c r="F16" s="42" t="s">
        <v>199</v>
      </c>
      <c r="G16" s="42" t="s">
        <v>199</v>
      </c>
      <c r="H16" s="37"/>
      <c r="I16" s="12">
        <v>8511945</v>
      </c>
      <c r="J16" s="43">
        <f>+J15+H16-I16</f>
        <v>10814190.199999988</v>
      </c>
      <c r="L16" s="37">
        <f>H15</f>
        <v>13454884</v>
      </c>
      <c r="M16" s="51">
        <f>+L16*10%</f>
        <v>1345488.4000000001</v>
      </c>
      <c r="N16" s="51">
        <f>+I16</f>
        <v>8511945</v>
      </c>
      <c r="O16" s="51">
        <f>+I17+I18</f>
        <v>247576</v>
      </c>
      <c r="P16" s="303">
        <f>+L16-M16-N16-O16</f>
        <v>3349874.5999999996</v>
      </c>
    </row>
    <row r="17" spans="1:16">
      <c r="A17" s="35"/>
      <c r="B17" s="41">
        <v>46079</v>
      </c>
      <c r="C17" s="42">
        <v>1</v>
      </c>
      <c r="D17" s="42">
        <v>14</v>
      </c>
      <c r="E17" s="40">
        <v>634</v>
      </c>
      <c r="F17" s="42" t="s">
        <v>270</v>
      </c>
      <c r="G17" s="42" t="s">
        <v>271</v>
      </c>
      <c r="H17" s="37"/>
      <c r="I17" s="37">
        <v>208803</v>
      </c>
      <c r="J17" s="43">
        <f t="shared" ref="J17:J18" si="0">+J16+H17-I17</f>
        <v>10605387.199999988</v>
      </c>
      <c r="L17" s="155"/>
      <c r="M17" s="156"/>
      <c r="N17" s="156"/>
      <c r="O17" s="156"/>
      <c r="P17" s="157"/>
    </row>
    <row r="18" spans="1:16">
      <c r="A18" s="35"/>
      <c r="B18" s="41"/>
      <c r="C18" s="42"/>
      <c r="D18" s="42"/>
      <c r="E18" s="97">
        <v>130</v>
      </c>
      <c r="F18" s="55" t="s">
        <v>327</v>
      </c>
      <c r="G18" s="55" t="s">
        <v>327</v>
      </c>
      <c r="H18" s="37"/>
      <c r="I18" s="37">
        <v>38773</v>
      </c>
      <c r="J18" s="43">
        <f t="shared" si="0"/>
        <v>10566614.199999988</v>
      </c>
      <c r="L18" s="155"/>
      <c r="M18" s="156"/>
      <c r="N18" s="156"/>
      <c r="O18" s="156"/>
      <c r="P18" s="157"/>
    </row>
    <row r="19" spans="1:16">
      <c r="A19" s="35"/>
      <c r="B19" s="330" t="s">
        <v>68</v>
      </c>
      <c r="C19" s="331"/>
      <c r="D19" s="331"/>
      <c r="E19" s="331"/>
      <c r="F19" s="331"/>
      <c r="G19" s="331"/>
      <c r="H19" s="331"/>
      <c r="I19" s="331"/>
      <c r="J19" s="332"/>
    </row>
    <row r="20" spans="1:16">
      <c r="A20" s="35"/>
      <c r="B20" s="41"/>
      <c r="C20" s="42"/>
      <c r="D20" s="42"/>
      <c r="E20" s="40"/>
      <c r="F20" s="42" t="s">
        <v>171</v>
      </c>
      <c r="G20" s="42" t="s">
        <v>171</v>
      </c>
      <c r="H20" s="37">
        <f>SUBVENCION!G9+SUBVENCION!H9</f>
        <v>12948901</v>
      </c>
      <c r="I20" s="37"/>
      <c r="J20" s="43">
        <f>+J18+H20-I20</f>
        <v>23515515.199999988</v>
      </c>
      <c r="K20" s="44" t="s">
        <v>224</v>
      </c>
    </row>
    <row r="21" spans="1:16">
      <c r="A21" s="35"/>
      <c r="B21" s="41"/>
      <c r="C21" s="42"/>
      <c r="D21" s="42"/>
      <c r="E21" s="40"/>
      <c r="F21" s="42" t="s">
        <v>199</v>
      </c>
      <c r="G21" s="42" t="s">
        <v>199</v>
      </c>
      <c r="H21" s="37"/>
      <c r="I21" s="12">
        <v>9306097</v>
      </c>
      <c r="J21" s="43">
        <f>+J20+H21-I21</f>
        <v>14209418.199999988</v>
      </c>
    </row>
    <row r="22" spans="1:16">
      <c r="B22" s="41">
        <v>46084</v>
      </c>
      <c r="C22" s="42">
        <v>3</v>
      </c>
      <c r="D22" s="42">
        <v>22</v>
      </c>
      <c r="E22" s="40">
        <v>263</v>
      </c>
      <c r="F22" s="42" t="s">
        <v>239</v>
      </c>
      <c r="G22" s="45" t="s">
        <v>240</v>
      </c>
      <c r="H22" s="37"/>
      <c r="I22" s="37">
        <v>205302</v>
      </c>
      <c r="J22" s="43">
        <f t="shared" ref="J22:J33" si="1">+J21+H22-I22</f>
        <v>14004116.199999988</v>
      </c>
      <c r="L22" s="97" t="s">
        <v>5</v>
      </c>
      <c r="M22" s="97" t="s">
        <v>214</v>
      </c>
      <c r="N22" s="97" t="s">
        <v>212</v>
      </c>
      <c r="O22" s="97" t="s">
        <v>213</v>
      </c>
      <c r="P22" s="97" t="s">
        <v>7</v>
      </c>
    </row>
    <row r="23" spans="1:16">
      <c r="B23" s="41">
        <v>46085</v>
      </c>
      <c r="C23" s="42">
        <v>4</v>
      </c>
      <c r="D23" s="42">
        <v>35</v>
      </c>
      <c r="E23" s="40">
        <v>257</v>
      </c>
      <c r="F23" s="42" t="s">
        <v>239</v>
      </c>
      <c r="G23" s="45" t="s">
        <v>240</v>
      </c>
      <c r="H23" s="37"/>
      <c r="I23" s="37">
        <v>208900</v>
      </c>
      <c r="J23" s="43">
        <f t="shared" si="1"/>
        <v>13795216.199999988</v>
      </c>
      <c r="L23" s="37">
        <f>H20</f>
        <v>12948901</v>
      </c>
      <c r="M23" s="51">
        <f>+L23*10%</f>
        <v>1294890.1000000001</v>
      </c>
      <c r="N23" s="51">
        <f>I21</f>
        <v>9306097</v>
      </c>
      <c r="O23" s="51">
        <f>I22+I23+I24+I25+I26+I27</f>
        <v>1238624</v>
      </c>
      <c r="P23" s="303">
        <f>+L23-M23-N23-O23</f>
        <v>1109289.9000000004</v>
      </c>
    </row>
    <row r="24" spans="1:16">
      <c r="B24" s="41"/>
      <c r="C24" s="42"/>
      <c r="D24" s="42"/>
      <c r="E24" s="97">
        <v>222</v>
      </c>
      <c r="F24" s="55" t="s">
        <v>327</v>
      </c>
      <c r="G24" s="55" t="s">
        <v>327</v>
      </c>
      <c r="H24" s="37"/>
      <c r="I24" s="37">
        <v>38773</v>
      </c>
      <c r="J24" s="43">
        <f t="shared" si="1"/>
        <v>13756443.199999988</v>
      </c>
    </row>
    <row r="25" spans="1:16">
      <c r="B25" s="41">
        <v>46104</v>
      </c>
      <c r="C25" s="42">
        <v>7</v>
      </c>
      <c r="D25" s="42">
        <v>157</v>
      </c>
      <c r="E25" s="40">
        <v>427</v>
      </c>
      <c r="F25" s="42" t="s">
        <v>278</v>
      </c>
      <c r="G25" s="42" t="s">
        <v>278</v>
      </c>
      <c r="H25" s="37"/>
      <c r="I25" s="37">
        <v>197920</v>
      </c>
      <c r="J25" s="43">
        <f t="shared" si="1"/>
        <v>13558523.199999988</v>
      </c>
    </row>
    <row r="26" spans="1:16">
      <c r="B26" s="41">
        <v>46112</v>
      </c>
      <c r="C26" s="42">
        <v>11</v>
      </c>
      <c r="D26" s="42">
        <v>206</v>
      </c>
      <c r="E26" s="40">
        <v>599</v>
      </c>
      <c r="F26" s="42" t="s">
        <v>242</v>
      </c>
      <c r="G26" s="42" t="s">
        <v>242</v>
      </c>
      <c r="H26" s="37"/>
      <c r="I26" s="37">
        <v>208010</v>
      </c>
      <c r="J26" s="43">
        <f t="shared" si="1"/>
        <v>13350513.199999988</v>
      </c>
      <c r="O26" s="181"/>
    </row>
    <row r="27" spans="1:16">
      <c r="B27" s="41">
        <v>46105</v>
      </c>
      <c r="C27" s="42">
        <v>9</v>
      </c>
      <c r="D27" s="42" t="s">
        <v>373</v>
      </c>
      <c r="E27" s="40">
        <v>613</v>
      </c>
      <c r="F27" s="42" t="s">
        <v>239</v>
      </c>
      <c r="G27" s="45" t="s">
        <v>349</v>
      </c>
      <c r="H27" s="37"/>
      <c r="I27" s="37">
        <v>379719</v>
      </c>
      <c r="J27" s="43">
        <f t="shared" si="1"/>
        <v>12970794.199999988</v>
      </c>
    </row>
    <row r="28" spans="1:16">
      <c r="B28" s="41"/>
      <c r="C28" s="42"/>
      <c r="D28" s="42"/>
      <c r="E28" s="40"/>
      <c r="F28" s="42"/>
      <c r="G28" s="45"/>
      <c r="H28" s="37"/>
      <c r="I28" s="37"/>
      <c r="J28" s="43">
        <f t="shared" si="1"/>
        <v>12970794.199999988</v>
      </c>
    </row>
    <row r="29" spans="1:16">
      <c r="B29" s="41"/>
      <c r="C29" s="42"/>
      <c r="D29" s="42"/>
      <c r="E29" s="40"/>
      <c r="F29" s="42"/>
      <c r="G29" s="45"/>
      <c r="H29" s="37"/>
      <c r="I29" s="37"/>
      <c r="J29" s="43">
        <f t="shared" si="1"/>
        <v>12970794.199999988</v>
      </c>
    </row>
    <row r="30" spans="1:16">
      <c r="B30" s="41"/>
      <c r="C30" s="42"/>
      <c r="D30" s="42"/>
      <c r="E30" s="40"/>
      <c r="F30" s="42"/>
      <c r="G30" s="45"/>
      <c r="H30" s="37"/>
      <c r="I30" s="37"/>
      <c r="J30" s="43">
        <f t="shared" si="1"/>
        <v>12970794.199999988</v>
      </c>
    </row>
    <row r="31" spans="1:16">
      <c r="B31" s="41"/>
      <c r="C31" s="42"/>
      <c r="D31" s="42"/>
      <c r="E31" s="40"/>
      <c r="F31" s="42"/>
      <c r="G31" s="45"/>
      <c r="H31" s="37"/>
      <c r="I31" s="37"/>
      <c r="J31" s="43">
        <f t="shared" si="1"/>
        <v>12970794.199999988</v>
      </c>
    </row>
    <row r="32" spans="1:16">
      <c r="B32" s="41"/>
      <c r="C32" s="42"/>
      <c r="D32" s="42"/>
      <c r="E32" s="40"/>
      <c r="F32" s="42"/>
      <c r="G32" s="45"/>
      <c r="H32" s="37"/>
      <c r="I32" s="37"/>
      <c r="J32" s="43">
        <f t="shared" si="1"/>
        <v>12970794.199999988</v>
      </c>
    </row>
    <row r="33" spans="2:16">
      <c r="B33" s="41"/>
      <c r="C33" s="42"/>
      <c r="D33" s="42"/>
      <c r="E33" s="40"/>
      <c r="F33" s="42"/>
      <c r="G33" s="45"/>
      <c r="H33" s="37"/>
      <c r="I33" s="37"/>
      <c r="J33" s="43">
        <f t="shared" si="1"/>
        <v>12970794.199999988</v>
      </c>
    </row>
    <row r="34" spans="2:16">
      <c r="B34" s="330" t="s">
        <v>69</v>
      </c>
      <c r="C34" s="331"/>
      <c r="D34" s="331"/>
      <c r="E34" s="331"/>
      <c r="F34" s="331"/>
      <c r="G34" s="331"/>
      <c r="H34" s="331"/>
      <c r="I34" s="331"/>
      <c r="J34" s="332"/>
    </row>
    <row r="35" spans="2:16">
      <c r="B35" s="41"/>
      <c r="C35" s="42"/>
      <c r="D35" s="42"/>
      <c r="E35" s="40"/>
      <c r="F35" s="42" t="s">
        <v>171</v>
      </c>
      <c r="G35" s="42" t="s">
        <v>171</v>
      </c>
      <c r="H35" s="37">
        <f>SUBVENCION!I9+SUBVENCION!J9</f>
        <v>11863643</v>
      </c>
      <c r="I35" s="37"/>
      <c r="J35" s="43">
        <f>+J33+H35-I35</f>
        <v>24834437.199999988</v>
      </c>
      <c r="K35" s="44" t="s">
        <v>128</v>
      </c>
    </row>
    <row r="36" spans="2:16">
      <c r="B36" s="41"/>
      <c r="C36" s="42"/>
      <c r="D36" s="42"/>
      <c r="E36" s="40"/>
      <c r="F36" s="42" t="s">
        <v>199</v>
      </c>
      <c r="G36" s="42" t="s">
        <v>199</v>
      </c>
      <c r="H36" s="37"/>
      <c r="I36" s="37">
        <v>8802976</v>
      </c>
      <c r="J36" s="43">
        <f>+J35+H36-I36</f>
        <v>16031461.199999988</v>
      </c>
      <c r="L36" s="97" t="s">
        <v>5</v>
      </c>
      <c r="M36" s="97" t="s">
        <v>214</v>
      </c>
      <c r="N36" s="97" t="s">
        <v>212</v>
      </c>
      <c r="O36" s="97" t="s">
        <v>213</v>
      </c>
      <c r="P36" s="97" t="s">
        <v>7</v>
      </c>
    </row>
    <row r="37" spans="2:16">
      <c r="B37" s="41"/>
      <c r="C37" s="42"/>
      <c r="D37" s="42"/>
      <c r="E37" s="97">
        <v>350</v>
      </c>
      <c r="F37" s="55" t="s">
        <v>327</v>
      </c>
      <c r="G37" s="55" t="s">
        <v>327</v>
      </c>
      <c r="H37" s="226"/>
      <c r="I37" s="226">
        <v>38773</v>
      </c>
      <c r="J37" s="43">
        <f t="shared" ref="J37:J47" si="2">+J36+H37-I37</f>
        <v>15992688.199999988</v>
      </c>
      <c r="L37" s="37">
        <f>H35</f>
        <v>11863643</v>
      </c>
      <c r="M37" s="51">
        <f>+L37*10%</f>
        <v>1186364.3</v>
      </c>
      <c r="N37" s="51">
        <f>I36</f>
        <v>8802976</v>
      </c>
      <c r="O37" s="51">
        <f>I37+I38+I39+I40+I41+I42+I43+I44+I45+I46+I47</f>
        <v>1073149</v>
      </c>
      <c r="P37" s="303">
        <f>+L37-M37-N37-O37</f>
        <v>801153.69999999925</v>
      </c>
    </row>
    <row r="38" spans="2:16">
      <c r="B38" s="41">
        <v>45749</v>
      </c>
      <c r="C38" s="42">
        <v>12</v>
      </c>
      <c r="D38" s="42">
        <v>217</v>
      </c>
      <c r="E38" s="40">
        <v>419</v>
      </c>
      <c r="F38" s="42" t="s">
        <v>283</v>
      </c>
      <c r="G38" s="42" t="s">
        <v>283</v>
      </c>
      <c r="H38" s="37"/>
      <c r="I38" s="37">
        <v>208506</v>
      </c>
      <c r="J38" s="43">
        <f t="shared" si="2"/>
        <v>15784182.199999988</v>
      </c>
    </row>
    <row r="39" spans="2:16">
      <c r="B39" s="41">
        <v>45753</v>
      </c>
      <c r="C39" s="42">
        <v>13</v>
      </c>
      <c r="D39" s="42">
        <v>231</v>
      </c>
      <c r="E39" s="40">
        <v>574</v>
      </c>
      <c r="F39" s="42" t="s">
        <v>278</v>
      </c>
      <c r="G39" s="45" t="s">
        <v>281</v>
      </c>
      <c r="H39" s="37"/>
      <c r="I39" s="37">
        <v>207969</v>
      </c>
      <c r="J39" s="43">
        <f t="shared" si="2"/>
        <v>15576213.199999988</v>
      </c>
    </row>
    <row r="40" spans="2:16">
      <c r="B40" s="41">
        <v>46119</v>
      </c>
      <c r="C40" s="42">
        <v>14</v>
      </c>
      <c r="D40" s="42">
        <v>251</v>
      </c>
      <c r="E40" s="40">
        <v>653</v>
      </c>
      <c r="F40" s="42" t="s">
        <v>385</v>
      </c>
      <c r="G40" s="45" t="s">
        <v>386</v>
      </c>
      <c r="H40" s="37"/>
      <c r="I40" s="37">
        <v>206902</v>
      </c>
      <c r="J40" s="43">
        <f t="shared" si="2"/>
        <v>15369311.199999988</v>
      </c>
    </row>
    <row r="41" spans="2:16">
      <c r="B41" s="41">
        <v>46128</v>
      </c>
      <c r="C41" s="42">
        <v>19</v>
      </c>
      <c r="D41" s="42">
        <v>294</v>
      </c>
      <c r="E41" s="40">
        <v>651</v>
      </c>
      <c r="F41" s="42" t="s">
        <v>278</v>
      </c>
      <c r="G41" s="42" t="s">
        <v>278</v>
      </c>
      <c r="H41" s="37"/>
      <c r="I41" s="37">
        <v>203999</v>
      </c>
      <c r="J41" s="43">
        <f t="shared" si="2"/>
        <v>15165312.199999988</v>
      </c>
    </row>
    <row r="42" spans="2:16">
      <c r="B42" s="41">
        <v>46134</v>
      </c>
      <c r="C42" s="42">
        <v>22</v>
      </c>
      <c r="D42" s="42">
        <v>328</v>
      </c>
      <c r="E42" s="40">
        <v>601</v>
      </c>
      <c r="F42" s="42" t="s">
        <v>244</v>
      </c>
      <c r="G42" s="45" t="s">
        <v>219</v>
      </c>
      <c r="H42" s="37"/>
      <c r="I42" s="37">
        <v>207000</v>
      </c>
      <c r="J42" s="43">
        <f t="shared" si="2"/>
        <v>14958312.199999988</v>
      </c>
    </row>
    <row r="43" spans="2:16">
      <c r="B43" s="41"/>
      <c r="C43" s="42"/>
      <c r="D43" s="42"/>
      <c r="E43" s="40"/>
      <c r="F43" s="42"/>
      <c r="G43" s="45"/>
      <c r="H43" s="37"/>
      <c r="I43" s="37"/>
      <c r="J43" s="43">
        <f t="shared" si="2"/>
        <v>14958312.199999988</v>
      </c>
    </row>
    <row r="44" spans="2:16">
      <c r="B44" s="41"/>
      <c r="C44" s="42"/>
      <c r="D44" s="42"/>
      <c r="E44" s="40"/>
      <c r="F44" s="42"/>
      <c r="G44" s="45"/>
      <c r="H44" s="37"/>
      <c r="I44" s="37"/>
      <c r="J44" s="43">
        <f t="shared" si="2"/>
        <v>14958312.199999988</v>
      </c>
    </row>
    <row r="45" spans="2:16">
      <c r="B45" s="41"/>
      <c r="C45" s="42"/>
      <c r="D45" s="42"/>
      <c r="E45" s="40"/>
      <c r="F45" s="42"/>
      <c r="G45" s="45"/>
      <c r="H45" s="37"/>
      <c r="I45" s="37"/>
      <c r="J45" s="43">
        <f t="shared" si="2"/>
        <v>14958312.199999988</v>
      </c>
    </row>
    <row r="46" spans="2:16">
      <c r="B46" s="41"/>
      <c r="C46" s="42"/>
      <c r="D46" s="42"/>
      <c r="E46" s="40"/>
      <c r="F46" s="42"/>
      <c r="G46" s="45"/>
      <c r="H46" s="37"/>
      <c r="I46" s="37"/>
      <c r="J46" s="43">
        <f t="shared" si="2"/>
        <v>14958312.199999988</v>
      </c>
    </row>
    <row r="47" spans="2:16">
      <c r="B47" s="41"/>
      <c r="C47" s="42"/>
      <c r="D47" s="42"/>
      <c r="E47" s="40"/>
      <c r="F47" s="42"/>
      <c r="G47" s="45"/>
      <c r="H47" s="37"/>
      <c r="I47" s="37"/>
      <c r="J47" s="43">
        <f t="shared" si="2"/>
        <v>14958312.199999988</v>
      </c>
    </row>
    <row r="48" spans="2:16">
      <c r="B48" s="330" t="s">
        <v>120</v>
      </c>
      <c r="C48" s="331"/>
      <c r="D48" s="331"/>
      <c r="E48" s="331"/>
      <c r="F48" s="331"/>
      <c r="G48" s="331"/>
      <c r="H48" s="331"/>
      <c r="I48" s="331"/>
      <c r="J48" s="332"/>
    </row>
    <row r="49" spans="1:16">
      <c r="B49" s="41"/>
      <c r="C49" s="42"/>
      <c r="D49" s="42"/>
      <c r="E49" s="40"/>
      <c r="F49" s="42" t="s">
        <v>171</v>
      </c>
      <c r="G49" s="42" t="s">
        <v>171</v>
      </c>
      <c r="H49" s="12">
        <f>SUBVENCION!K9+SUBVENCION!L9</f>
        <v>11917513</v>
      </c>
      <c r="I49" s="37"/>
      <c r="J49" s="43">
        <f>+J47+H49-I49</f>
        <v>26875825.199999988</v>
      </c>
      <c r="K49" s="44" t="s">
        <v>120</v>
      </c>
    </row>
    <row r="50" spans="1:16">
      <c r="B50" s="41"/>
      <c r="C50" s="42"/>
      <c r="D50" s="42"/>
      <c r="E50" s="40"/>
      <c r="F50" s="42" t="s">
        <v>199</v>
      </c>
      <c r="G50" s="42" t="s">
        <v>199</v>
      </c>
      <c r="H50" s="37"/>
      <c r="I50" s="12">
        <v>8852192</v>
      </c>
      <c r="J50" s="43">
        <f>+J49+H50-I50</f>
        <v>18023633.199999988</v>
      </c>
    </row>
    <row r="51" spans="1:16">
      <c r="B51" s="41">
        <v>46148</v>
      </c>
      <c r="C51" s="42">
        <v>24</v>
      </c>
      <c r="D51" s="42">
        <v>404</v>
      </c>
      <c r="E51" s="40">
        <v>745</v>
      </c>
      <c r="F51" s="42" t="s">
        <v>385</v>
      </c>
      <c r="G51" s="42" t="s">
        <v>385</v>
      </c>
      <c r="H51" s="37"/>
      <c r="I51" s="37">
        <v>208700</v>
      </c>
      <c r="J51" s="43">
        <f t="shared" ref="J51:J57" si="3">+J50+H51-I51</f>
        <v>17814933.199999988</v>
      </c>
      <c r="L51" s="97" t="s">
        <v>5</v>
      </c>
      <c r="M51" s="97" t="s">
        <v>214</v>
      </c>
      <c r="N51" s="97" t="s">
        <v>212</v>
      </c>
      <c r="O51" s="97" t="s">
        <v>213</v>
      </c>
      <c r="P51" s="97" t="s">
        <v>7</v>
      </c>
    </row>
    <row r="52" spans="1:16">
      <c r="B52" s="41">
        <v>46153</v>
      </c>
      <c r="C52" s="42">
        <v>26</v>
      </c>
      <c r="D52" s="42">
        <v>430</v>
      </c>
      <c r="E52" s="40">
        <v>752</v>
      </c>
      <c r="F52" s="42" t="s">
        <v>385</v>
      </c>
      <c r="G52" s="42" t="s">
        <v>385</v>
      </c>
      <c r="H52" s="37"/>
      <c r="I52" s="37">
        <v>211399</v>
      </c>
      <c r="J52" s="43">
        <f t="shared" si="3"/>
        <v>17603534.199999988</v>
      </c>
      <c r="L52" s="37">
        <f>H49</f>
        <v>11917513</v>
      </c>
      <c r="M52" s="51">
        <f>+L52*10%</f>
        <v>1191751.3</v>
      </c>
      <c r="N52" s="51">
        <f>I50</f>
        <v>8852192</v>
      </c>
      <c r="O52" s="51">
        <f>I51+I52+I53+I54+I55+I56+I57</f>
        <v>879445</v>
      </c>
      <c r="P52" s="303">
        <f>+L52-M52-N52-O52</f>
        <v>994124.69999999925</v>
      </c>
    </row>
    <row r="53" spans="1:16">
      <c r="B53" s="41">
        <v>46167</v>
      </c>
      <c r="C53" s="42">
        <v>27</v>
      </c>
      <c r="D53" s="42">
        <v>477</v>
      </c>
      <c r="E53" s="40">
        <v>834</v>
      </c>
      <c r="F53" s="42" t="s">
        <v>385</v>
      </c>
      <c r="G53" s="42" t="s">
        <v>385</v>
      </c>
      <c r="H53" s="37"/>
      <c r="I53" s="37">
        <v>211770</v>
      </c>
      <c r="J53" s="43">
        <f t="shared" si="3"/>
        <v>17391764.199999988</v>
      </c>
      <c r="L53" s="186"/>
      <c r="M53" s="186"/>
      <c r="N53" s="186"/>
      <c r="O53" s="186"/>
      <c r="P53" s="186"/>
    </row>
    <row r="54" spans="1:16">
      <c r="B54" s="41">
        <v>46170</v>
      </c>
      <c r="C54" s="42">
        <v>28</v>
      </c>
      <c r="D54" s="42">
        <v>495</v>
      </c>
      <c r="E54" s="40">
        <v>958</v>
      </c>
      <c r="F54" s="42" t="s">
        <v>278</v>
      </c>
      <c r="G54" s="45" t="s">
        <v>281</v>
      </c>
      <c r="H54" s="37"/>
      <c r="I54" s="37">
        <v>208803</v>
      </c>
      <c r="J54" s="43">
        <f t="shared" si="3"/>
        <v>17182961.199999988</v>
      </c>
      <c r="L54" s="186"/>
      <c r="M54" s="186"/>
      <c r="N54" s="186"/>
      <c r="O54" s="186"/>
      <c r="P54" s="186"/>
    </row>
    <row r="55" spans="1:16">
      <c r="B55" s="41"/>
      <c r="C55" s="42"/>
      <c r="D55" s="42"/>
      <c r="E55" s="40">
        <v>563</v>
      </c>
      <c r="F55" s="55" t="s">
        <v>327</v>
      </c>
      <c r="G55" s="55" t="s">
        <v>327</v>
      </c>
      <c r="H55" s="37"/>
      <c r="I55" s="37">
        <v>38773</v>
      </c>
      <c r="J55" s="43">
        <f t="shared" si="3"/>
        <v>17144188.199999988</v>
      </c>
      <c r="L55" s="186"/>
      <c r="M55" s="186"/>
      <c r="N55" s="186"/>
      <c r="O55" s="186"/>
      <c r="P55" s="186"/>
    </row>
    <row r="56" spans="1:16">
      <c r="B56" s="41"/>
      <c r="C56" s="42"/>
      <c r="D56" s="40"/>
      <c r="E56" s="40"/>
      <c r="F56" s="42"/>
      <c r="G56" s="45"/>
      <c r="H56" s="37"/>
      <c r="I56" s="37"/>
      <c r="J56" s="43">
        <f t="shared" si="3"/>
        <v>17144188.199999988</v>
      </c>
      <c r="L56" s="155"/>
      <c r="M56" s="156"/>
      <c r="N56" s="156"/>
      <c r="O56" s="156"/>
      <c r="P56" s="157"/>
    </row>
    <row r="57" spans="1:16">
      <c r="B57" s="41"/>
      <c r="C57" s="42"/>
      <c r="D57" s="42"/>
      <c r="E57" s="40"/>
      <c r="F57" s="42"/>
      <c r="G57" s="45"/>
      <c r="H57" s="37"/>
      <c r="I57" s="37"/>
      <c r="J57" s="43">
        <f t="shared" si="3"/>
        <v>17144188.199999988</v>
      </c>
      <c r="L57" s="155"/>
      <c r="M57" s="156"/>
      <c r="N57" s="156"/>
      <c r="O57" s="156"/>
      <c r="P57" s="157"/>
    </row>
    <row r="58" spans="1:16">
      <c r="B58" s="330" t="s">
        <v>129</v>
      </c>
      <c r="C58" s="331"/>
      <c r="D58" s="331"/>
      <c r="E58" s="331"/>
      <c r="F58" s="331"/>
      <c r="G58" s="331"/>
      <c r="H58" s="331"/>
      <c r="I58" s="331"/>
      <c r="J58" s="332"/>
    </row>
    <row r="59" spans="1:16">
      <c r="B59" s="41"/>
      <c r="C59" s="42"/>
      <c r="D59" s="42"/>
      <c r="E59" s="40"/>
      <c r="F59" s="42" t="s">
        <v>171</v>
      </c>
      <c r="G59" s="42" t="s">
        <v>171</v>
      </c>
      <c r="H59" s="12">
        <f>SUBVENCION!M9+SUBVENCION!N9</f>
        <v>10702041</v>
      </c>
      <c r="I59" s="37"/>
      <c r="J59" s="43">
        <f>+J57+H59-I59</f>
        <v>27846229.199999988</v>
      </c>
      <c r="K59" s="44" t="s">
        <v>225</v>
      </c>
      <c r="L59" s="97" t="s">
        <v>5</v>
      </c>
      <c r="M59" s="97" t="s">
        <v>214</v>
      </c>
      <c r="N59" s="97" t="s">
        <v>212</v>
      </c>
      <c r="O59" s="97" t="s">
        <v>213</v>
      </c>
      <c r="P59" s="97" t="s">
        <v>7</v>
      </c>
    </row>
    <row r="60" spans="1:16">
      <c r="B60" s="41"/>
      <c r="C60" s="42"/>
      <c r="D60" s="42"/>
      <c r="E60" s="40"/>
      <c r="F60" s="42" t="s">
        <v>199</v>
      </c>
      <c r="G60" s="42" t="s">
        <v>199</v>
      </c>
      <c r="H60" s="37"/>
      <c r="I60" s="37">
        <v>8046594</v>
      </c>
      <c r="J60" s="43">
        <f>+J59+H60-I60</f>
        <v>19799635.199999988</v>
      </c>
      <c r="L60" s="37">
        <f>H59</f>
        <v>10702041</v>
      </c>
      <c r="M60" s="51">
        <f>+L60*10%</f>
        <v>1070204.1000000001</v>
      </c>
      <c r="N60" s="51">
        <f>I60</f>
        <v>8046594</v>
      </c>
      <c r="O60" s="51">
        <f>I61+I62+I63+I64+I65+I66+I68+I67</f>
        <v>5353064</v>
      </c>
      <c r="P60" s="187">
        <f>+L60-M60-N60-O60</f>
        <v>-3767821.0999999996</v>
      </c>
    </row>
    <row r="61" spans="1:16">
      <c r="A61" s="35"/>
      <c r="B61" s="41">
        <v>46175</v>
      </c>
      <c r="C61" s="42">
        <v>29</v>
      </c>
      <c r="D61" s="42" t="s">
        <v>288</v>
      </c>
      <c r="E61" s="40"/>
      <c r="F61" s="45" t="s">
        <v>471</v>
      </c>
      <c r="G61" s="45" t="s">
        <v>471</v>
      </c>
      <c r="H61" s="37"/>
      <c r="I61" s="37">
        <v>639960</v>
      </c>
      <c r="J61" s="43">
        <f t="shared" ref="J61:J67" si="4">+J60+H61-I61</f>
        <v>19159675.199999988</v>
      </c>
    </row>
    <row r="62" spans="1:16">
      <c r="A62" s="35"/>
      <c r="B62" s="41">
        <v>46178</v>
      </c>
      <c r="C62" s="42">
        <v>32</v>
      </c>
      <c r="D62" s="42">
        <v>549</v>
      </c>
      <c r="E62" s="40">
        <v>957</v>
      </c>
      <c r="F62" s="42" t="s">
        <v>222</v>
      </c>
      <c r="G62" s="45" t="s">
        <v>219</v>
      </c>
      <c r="H62" s="37"/>
      <c r="I62" s="37">
        <v>207000</v>
      </c>
      <c r="J62" s="43">
        <f t="shared" si="4"/>
        <v>18952675.199999988</v>
      </c>
    </row>
    <row r="63" spans="1:16">
      <c r="A63" s="35"/>
      <c r="B63" s="41">
        <v>46178</v>
      </c>
      <c r="C63" s="42">
        <v>33</v>
      </c>
      <c r="D63" s="42" t="s">
        <v>695</v>
      </c>
      <c r="E63" s="40">
        <v>1194</v>
      </c>
      <c r="F63" s="42" t="s">
        <v>385</v>
      </c>
      <c r="G63" s="45" t="s">
        <v>349</v>
      </c>
      <c r="H63" s="37"/>
      <c r="I63" s="37">
        <v>699000</v>
      </c>
      <c r="J63" s="43">
        <f t="shared" si="4"/>
        <v>18253675.199999988</v>
      </c>
    </row>
    <row r="64" spans="1:16">
      <c r="A64" s="35"/>
      <c r="B64" s="41">
        <v>46181</v>
      </c>
      <c r="C64" s="42">
        <v>34</v>
      </c>
      <c r="D64" s="42">
        <v>560</v>
      </c>
      <c r="E64" s="40">
        <v>956</v>
      </c>
      <c r="F64" s="42" t="s">
        <v>385</v>
      </c>
      <c r="G64" s="42" t="s">
        <v>385</v>
      </c>
      <c r="H64" s="37"/>
      <c r="I64" s="37">
        <v>209930</v>
      </c>
      <c r="J64" s="43">
        <f t="shared" si="4"/>
        <v>18043745.199999988</v>
      </c>
    </row>
    <row r="65" spans="1:16">
      <c r="A65" s="35"/>
      <c r="B65" s="41"/>
      <c r="C65" s="42"/>
      <c r="D65" s="42"/>
      <c r="E65" s="40">
        <v>734</v>
      </c>
      <c r="F65" s="55" t="s">
        <v>327</v>
      </c>
      <c r="G65" s="55" t="s">
        <v>327</v>
      </c>
      <c r="H65" s="37"/>
      <c r="I65" s="37">
        <v>38773</v>
      </c>
      <c r="J65" s="43">
        <f t="shared" si="4"/>
        <v>18004972.199999988</v>
      </c>
    </row>
    <row r="66" spans="1:16">
      <c r="A66" s="35"/>
      <c r="B66" s="41">
        <v>46184</v>
      </c>
      <c r="C66" s="42">
        <v>35</v>
      </c>
      <c r="D66" s="42" t="s">
        <v>700</v>
      </c>
      <c r="E66" s="40">
        <v>1190</v>
      </c>
      <c r="F66" s="42" t="s">
        <v>492</v>
      </c>
      <c r="G66" s="42" t="s">
        <v>492</v>
      </c>
      <c r="H66" s="37"/>
      <c r="I66" s="37">
        <v>1180480</v>
      </c>
      <c r="J66" s="43">
        <f t="shared" si="4"/>
        <v>16824492.199999988</v>
      </c>
    </row>
    <row r="67" spans="1:16">
      <c r="A67" s="35"/>
      <c r="B67" s="41">
        <v>46252</v>
      </c>
      <c r="C67" s="42">
        <v>38</v>
      </c>
      <c r="D67" s="42" t="s">
        <v>630</v>
      </c>
      <c r="E67" s="40">
        <v>1260</v>
      </c>
      <c r="F67" s="42" t="s">
        <v>250</v>
      </c>
      <c r="G67" s="42" t="s">
        <v>251</v>
      </c>
      <c r="H67" s="37"/>
      <c r="I67" s="37">
        <v>2169111</v>
      </c>
      <c r="J67" s="43">
        <f t="shared" si="4"/>
        <v>14655381.199999988</v>
      </c>
    </row>
    <row r="68" spans="1:16">
      <c r="A68" s="35"/>
      <c r="B68" s="41">
        <v>46191</v>
      </c>
      <c r="C68" s="42">
        <v>37</v>
      </c>
      <c r="D68" s="42">
        <v>603</v>
      </c>
      <c r="E68" s="40">
        <v>981</v>
      </c>
      <c r="F68" s="42" t="s">
        <v>385</v>
      </c>
      <c r="G68" s="42" t="s">
        <v>385</v>
      </c>
      <c r="H68" s="37"/>
      <c r="I68" s="37">
        <v>208810</v>
      </c>
      <c r="J68" s="43">
        <f>+J67+H68-I68</f>
        <v>14446571.199999988</v>
      </c>
    </row>
    <row r="69" spans="1:16">
      <c r="A69" s="35"/>
      <c r="B69" s="330" t="s">
        <v>65</v>
      </c>
      <c r="C69" s="331"/>
      <c r="D69" s="331"/>
      <c r="E69" s="331"/>
      <c r="F69" s="331"/>
      <c r="G69" s="331"/>
      <c r="H69" s="331"/>
      <c r="I69" s="331"/>
      <c r="J69" s="332"/>
    </row>
    <row r="70" spans="1:16">
      <c r="A70" s="35"/>
      <c r="B70" s="41"/>
      <c r="C70" s="42"/>
      <c r="D70" s="42"/>
      <c r="E70" s="40"/>
      <c r="F70" s="42" t="s">
        <v>171</v>
      </c>
      <c r="G70" s="42" t="s">
        <v>171</v>
      </c>
      <c r="H70" s="37">
        <f>+SUBVENCION!O9+SUBVENCION!P9</f>
        <v>11868329</v>
      </c>
      <c r="I70" s="37"/>
      <c r="J70" s="43">
        <f>+J68+H70-I70</f>
        <v>26314900.199999988</v>
      </c>
    </row>
    <row r="71" spans="1:16">
      <c r="A71" s="35"/>
      <c r="B71" s="41"/>
      <c r="C71" s="42"/>
      <c r="D71" s="42"/>
      <c r="E71" s="40"/>
      <c r="F71" s="42" t="s">
        <v>199</v>
      </c>
      <c r="G71" s="42" t="s">
        <v>199</v>
      </c>
      <c r="H71" s="37"/>
      <c r="I71" s="37">
        <v>7585170</v>
      </c>
      <c r="J71" s="37">
        <f>+J70+H71-I71</f>
        <v>18729730.199999988</v>
      </c>
      <c r="K71" s="44" t="s">
        <v>226</v>
      </c>
      <c r="L71" s="97" t="s">
        <v>5</v>
      </c>
      <c r="M71" s="97" t="s">
        <v>214</v>
      </c>
      <c r="N71" s="97" t="s">
        <v>212</v>
      </c>
      <c r="O71" s="97" t="s">
        <v>213</v>
      </c>
      <c r="P71" s="97" t="s">
        <v>7</v>
      </c>
    </row>
    <row r="72" spans="1:16">
      <c r="A72" s="35"/>
      <c r="B72" s="41"/>
      <c r="C72" s="42"/>
      <c r="D72" s="42"/>
      <c r="E72" s="40">
        <v>944</v>
      </c>
      <c r="F72" s="55" t="s">
        <v>327</v>
      </c>
      <c r="G72" s="55" t="s">
        <v>327</v>
      </c>
      <c r="H72" s="37"/>
      <c r="I72" s="37">
        <v>38773</v>
      </c>
      <c r="J72" s="37">
        <f t="shared" ref="J72:J81" si="5">+J71+H72-I72</f>
        <v>18690957.199999988</v>
      </c>
      <c r="L72" s="103">
        <f>H70</f>
        <v>11868329</v>
      </c>
      <c r="M72" s="304">
        <f>+L72*10%</f>
        <v>1186832.9000000001</v>
      </c>
      <c r="N72" s="304">
        <f>I71</f>
        <v>7585170</v>
      </c>
      <c r="O72" s="304">
        <f>I76+I80+I72+I73+I74+I75+I77+I78+I79+I81</f>
        <v>3850100</v>
      </c>
      <c r="P72" s="305">
        <f>+L72-M72-N72-O72</f>
        <v>-753773.90000000037</v>
      </c>
    </row>
    <row r="73" spans="1:16">
      <c r="A73" s="35"/>
      <c r="B73" s="41">
        <v>46227</v>
      </c>
      <c r="C73" s="42">
        <v>43</v>
      </c>
      <c r="D73" s="42" t="s">
        <v>354</v>
      </c>
      <c r="E73" s="40"/>
      <c r="F73" s="42" t="s">
        <v>542</v>
      </c>
      <c r="G73" s="42" t="s">
        <v>543</v>
      </c>
      <c r="H73" s="37"/>
      <c r="I73" s="37">
        <v>1760000</v>
      </c>
      <c r="J73" s="37">
        <f t="shared" si="5"/>
        <v>16930957.199999988</v>
      </c>
      <c r="L73" s="306"/>
      <c r="M73" s="306"/>
      <c r="N73" s="306"/>
      <c r="O73" s="306"/>
      <c r="P73" s="306"/>
    </row>
    <row r="74" spans="1:16">
      <c r="A74" s="35"/>
      <c r="B74" s="41">
        <v>46226</v>
      </c>
      <c r="C74" s="42">
        <v>47</v>
      </c>
      <c r="D74" s="42">
        <v>689</v>
      </c>
      <c r="E74" s="40">
        <v>1203</v>
      </c>
      <c r="F74" s="42" t="s">
        <v>250</v>
      </c>
      <c r="G74" s="42" t="s">
        <v>545</v>
      </c>
      <c r="H74" s="37"/>
      <c r="I74" s="37">
        <v>208480</v>
      </c>
      <c r="J74" s="37">
        <f t="shared" si="5"/>
        <v>16722477.199999988</v>
      </c>
      <c r="L74" s="186"/>
      <c r="M74" s="186"/>
      <c r="N74" s="186"/>
      <c r="O74" s="186"/>
      <c r="P74" s="186"/>
    </row>
    <row r="75" spans="1:16">
      <c r="A75" s="35"/>
      <c r="B75" s="41">
        <v>46225</v>
      </c>
      <c r="C75" s="42">
        <v>46</v>
      </c>
      <c r="D75" s="42">
        <v>688</v>
      </c>
      <c r="E75" s="40">
        <v>1149</v>
      </c>
      <c r="F75" s="42" t="s">
        <v>546</v>
      </c>
      <c r="G75" s="42" t="s">
        <v>547</v>
      </c>
      <c r="H75" s="37"/>
      <c r="I75" s="37">
        <v>214000</v>
      </c>
      <c r="J75" s="37">
        <f t="shared" si="5"/>
        <v>16508477.199999988</v>
      </c>
      <c r="L75" s="186"/>
      <c r="M75" s="186"/>
      <c r="N75" s="186"/>
      <c r="O75" s="186"/>
      <c r="P75" s="186"/>
    </row>
    <row r="76" spans="1:16">
      <c r="A76" s="35"/>
      <c r="B76" s="41">
        <v>46225</v>
      </c>
      <c r="C76" s="42">
        <v>44</v>
      </c>
      <c r="D76" s="42">
        <v>687</v>
      </c>
      <c r="E76" s="40">
        <v>1210</v>
      </c>
      <c r="F76" s="42" t="s">
        <v>242</v>
      </c>
      <c r="G76" s="42" t="s">
        <v>242</v>
      </c>
      <c r="H76" s="37"/>
      <c r="I76" s="37">
        <v>213500</v>
      </c>
      <c r="J76" s="37">
        <f t="shared" si="5"/>
        <v>16294977.199999988</v>
      </c>
    </row>
    <row r="77" spans="1:16">
      <c r="A77" s="35"/>
      <c r="B77" s="41">
        <v>46226</v>
      </c>
      <c r="C77" s="42">
        <v>48</v>
      </c>
      <c r="D77" s="42">
        <v>704</v>
      </c>
      <c r="E77" s="40">
        <v>1164</v>
      </c>
      <c r="F77" s="42" t="s">
        <v>539</v>
      </c>
      <c r="G77" s="42" t="s">
        <v>558</v>
      </c>
      <c r="H77" s="37"/>
      <c r="I77" s="37">
        <v>205696</v>
      </c>
      <c r="J77" s="37">
        <f t="shared" si="5"/>
        <v>16089281.199999988</v>
      </c>
      <c r="L77" s="155"/>
      <c r="M77" s="156"/>
      <c r="N77" s="156"/>
      <c r="O77" s="156"/>
      <c r="P77" s="157"/>
    </row>
    <row r="78" spans="1:16">
      <c r="A78" s="35"/>
      <c r="B78" s="41">
        <v>46226</v>
      </c>
      <c r="C78" s="42">
        <v>50</v>
      </c>
      <c r="D78" s="42">
        <v>705</v>
      </c>
      <c r="E78" s="40">
        <v>1213</v>
      </c>
      <c r="F78" s="42" t="s">
        <v>250</v>
      </c>
      <c r="G78" s="42" t="s">
        <v>559</v>
      </c>
      <c r="H78" s="37"/>
      <c r="I78" s="37">
        <v>213760</v>
      </c>
      <c r="J78" s="37">
        <f t="shared" si="5"/>
        <v>15875521.199999988</v>
      </c>
      <c r="L78" s="155"/>
      <c r="M78" s="156"/>
      <c r="N78" s="156"/>
      <c r="O78" s="156"/>
      <c r="P78" s="157"/>
    </row>
    <row r="79" spans="1:16">
      <c r="A79" s="35"/>
      <c r="B79" s="41">
        <v>46217</v>
      </c>
      <c r="C79" s="42">
        <v>42</v>
      </c>
      <c r="D79" s="42">
        <v>711</v>
      </c>
      <c r="E79" s="40">
        <v>1204</v>
      </c>
      <c r="F79" s="42" t="s">
        <v>270</v>
      </c>
      <c r="G79" s="42" t="s">
        <v>560</v>
      </c>
      <c r="H79" s="37"/>
      <c r="I79" s="37">
        <v>210891</v>
      </c>
      <c r="J79" s="37">
        <f t="shared" si="5"/>
        <v>15664630.199999988</v>
      </c>
      <c r="L79" s="155"/>
      <c r="M79" s="156"/>
      <c r="N79" s="156"/>
      <c r="O79" s="156"/>
      <c r="P79" s="157"/>
    </row>
    <row r="80" spans="1:16">
      <c r="A80" s="35"/>
      <c r="B80" s="41">
        <v>46227</v>
      </c>
      <c r="C80" s="42">
        <v>51</v>
      </c>
      <c r="D80" s="42">
        <v>723</v>
      </c>
      <c r="E80" s="40">
        <v>1202</v>
      </c>
      <c r="F80" s="42" t="s">
        <v>222</v>
      </c>
      <c r="G80" s="42" t="s">
        <v>219</v>
      </c>
      <c r="H80" s="37"/>
      <c r="I80" s="37">
        <v>207000</v>
      </c>
      <c r="J80" s="37">
        <f t="shared" si="5"/>
        <v>15457630.199999988</v>
      </c>
      <c r="L80" s="186"/>
      <c r="M80" s="186"/>
      <c r="N80" s="186"/>
      <c r="O80" s="186"/>
      <c r="P80" s="186"/>
    </row>
    <row r="81" spans="1:16">
      <c r="A81" s="35"/>
      <c r="B81" s="41">
        <v>46226</v>
      </c>
      <c r="C81" s="42">
        <v>49</v>
      </c>
      <c r="D81" s="42" t="s">
        <v>638</v>
      </c>
      <c r="E81" s="40">
        <v>1437</v>
      </c>
      <c r="F81" s="42" t="s">
        <v>222</v>
      </c>
      <c r="G81" s="42" t="s">
        <v>219</v>
      </c>
      <c r="H81" s="37"/>
      <c r="I81" s="37">
        <v>578000</v>
      </c>
      <c r="J81" s="37">
        <f t="shared" si="5"/>
        <v>14879630.199999988</v>
      </c>
      <c r="L81" s="186"/>
      <c r="M81" s="186"/>
      <c r="N81" s="186"/>
      <c r="O81" s="186"/>
      <c r="P81" s="186"/>
    </row>
    <row r="82" spans="1:16">
      <c r="A82" s="35"/>
      <c r="B82" s="320" t="s">
        <v>130</v>
      </c>
      <c r="C82" s="321"/>
      <c r="D82" s="321"/>
      <c r="E82" s="321"/>
      <c r="F82" s="321"/>
      <c r="G82" s="321"/>
      <c r="H82" s="321"/>
      <c r="I82" s="321"/>
      <c r="J82" s="322"/>
    </row>
    <row r="83" spans="1:16">
      <c r="A83" s="35"/>
      <c r="B83" s="41"/>
      <c r="C83" s="42"/>
      <c r="D83" s="42"/>
      <c r="E83" s="40"/>
      <c r="F83" s="42" t="s">
        <v>171</v>
      </c>
      <c r="G83" s="42" t="s">
        <v>171</v>
      </c>
      <c r="H83" s="37">
        <f>+SUBVENCION!Q9+SUBVENCION!R9</f>
        <v>11652405</v>
      </c>
      <c r="I83" s="37"/>
      <c r="J83" s="43">
        <f>+J81+H83-I83</f>
        <v>26532035.199999988</v>
      </c>
    </row>
    <row r="84" spans="1:16">
      <c r="A84" s="35"/>
      <c r="B84" s="41"/>
      <c r="C84" s="42"/>
      <c r="D84" s="42"/>
      <c r="E84" s="40"/>
      <c r="F84" s="42" t="s">
        <v>199</v>
      </c>
      <c r="G84" s="42" t="s">
        <v>199</v>
      </c>
      <c r="H84" s="37"/>
      <c r="I84" s="37">
        <v>7613561</v>
      </c>
      <c r="J84" s="43">
        <f>+J83+H84-I84</f>
        <v>18918474.199999988</v>
      </c>
    </row>
    <row r="85" spans="1:16">
      <c r="A85" s="35"/>
      <c r="B85" s="41"/>
      <c r="C85" s="42"/>
      <c r="D85" s="42"/>
      <c r="E85" s="40">
        <v>1178</v>
      </c>
      <c r="F85" s="55" t="s">
        <v>327</v>
      </c>
      <c r="G85" s="55" t="s">
        <v>327</v>
      </c>
      <c r="H85" s="37"/>
      <c r="I85" s="37">
        <v>38773</v>
      </c>
      <c r="J85" s="43">
        <f t="shared" ref="J85:J96" si="6">+J84+H85-I85</f>
        <v>18879701.199999988</v>
      </c>
    </row>
    <row r="86" spans="1:16">
      <c r="A86" s="35"/>
      <c r="B86" s="41">
        <v>46244</v>
      </c>
      <c r="C86" s="42">
        <v>59</v>
      </c>
      <c r="D86" s="42" t="s">
        <v>656</v>
      </c>
      <c r="E86" s="40">
        <v>1314</v>
      </c>
      <c r="F86" s="42" t="s">
        <v>546</v>
      </c>
      <c r="G86" s="45" t="s">
        <v>613</v>
      </c>
      <c r="H86" s="37"/>
      <c r="I86" s="37">
        <v>654500</v>
      </c>
      <c r="J86" s="43">
        <f t="shared" si="6"/>
        <v>18225201.199999988</v>
      </c>
    </row>
    <row r="87" spans="1:16">
      <c r="A87" s="35"/>
      <c r="B87" s="41">
        <v>46244</v>
      </c>
      <c r="C87" s="42">
        <v>56</v>
      </c>
      <c r="D87" s="42">
        <v>779</v>
      </c>
      <c r="E87" s="40"/>
      <c r="F87" s="42" t="s">
        <v>617</v>
      </c>
      <c r="G87" s="45" t="s">
        <v>618</v>
      </c>
      <c r="H87" s="37"/>
      <c r="I87" s="37">
        <v>213000</v>
      </c>
      <c r="J87" s="43">
        <f t="shared" si="6"/>
        <v>18012201.199999988</v>
      </c>
      <c r="K87" s="44" t="s">
        <v>227</v>
      </c>
      <c r="L87" s="97" t="s">
        <v>5</v>
      </c>
      <c r="M87" s="97" t="s">
        <v>214</v>
      </c>
      <c r="N87" s="97" t="s">
        <v>212</v>
      </c>
      <c r="O87" s="97" t="s">
        <v>213</v>
      </c>
      <c r="P87" s="97" t="s">
        <v>7</v>
      </c>
    </row>
    <row r="88" spans="1:16">
      <c r="A88" s="35"/>
      <c r="B88" s="41">
        <v>46244</v>
      </c>
      <c r="C88" s="42">
        <v>57</v>
      </c>
      <c r="D88" s="42">
        <v>778</v>
      </c>
      <c r="E88" s="40">
        <v>1393</v>
      </c>
      <c r="F88" s="42" t="s">
        <v>242</v>
      </c>
      <c r="G88" s="45" t="s">
        <v>242</v>
      </c>
      <c r="H88" s="37"/>
      <c r="I88" s="37">
        <v>213010</v>
      </c>
      <c r="J88" s="43">
        <f t="shared" si="6"/>
        <v>17799191.199999988</v>
      </c>
      <c r="L88" s="37">
        <f>H83</f>
        <v>11652405</v>
      </c>
      <c r="M88" s="51">
        <f>+L88*10%</f>
        <v>1165240.5</v>
      </c>
      <c r="N88" s="51">
        <f>I84</f>
        <v>7613561</v>
      </c>
      <c r="O88" s="51">
        <f>I86+I87+I88+I89+I90+I91+I96+I93+I92+I94+I95+I85</f>
        <v>7281572</v>
      </c>
      <c r="P88" s="303">
        <f>+L88-M88-N88-O88</f>
        <v>-4407968.5</v>
      </c>
    </row>
    <row r="89" spans="1:16">
      <c r="A89" s="35"/>
      <c r="B89" s="41">
        <v>46244</v>
      </c>
      <c r="C89" s="42">
        <v>53</v>
      </c>
      <c r="D89" s="42">
        <v>777</v>
      </c>
      <c r="E89" s="40">
        <v>1301</v>
      </c>
      <c r="F89" s="42" t="s">
        <v>283</v>
      </c>
      <c r="G89" s="45" t="s">
        <v>283</v>
      </c>
      <c r="H89" s="37"/>
      <c r="I89" s="37">
        <v>209109</v>
      </c>
      <c r="J89" s="43">
        <f t="shared" si="6"/>
        <v>17590082.199999988</v>
      </c>
      <c r="L89" s="155"/>
      <c r="M89" s="156"/>
      <c r="N89" s="156"/>
      <c r="O89" s="156"/>
      <c r="P89" s="157"/>
    </row>
    <row r="90" spans="1:16">
      <c r="A90" s="35"/>
      <c r="B90" s="41">
        <v>46244</v>
      </c>
      <c r="C90" s="42">
        <v>52</v>
      </c>
      <c r="D90" s="42">
        <v>775</v>
      </c>
      <c r="E90" s="40">
        <v>1286</v>
      </c>
      <c r="F90" s="42" t="s">
        <v>250</v>
      </c>
      <c r="G90" s="45" t="s">
        <v>621</v>
      </c>
      <c r="H90" s="37"/>
      <c r="I90" s="37">
        <v>213720</v>
      </c>
      <c r="J90" s="43">
        <f t="shared" si="6"/>
        <v>17376362.199999988</v>
      </c>
      <c r="L90" s="155"/>
      <c r="M90" s="156"/>
      <c r="N90" s="156"/>
      <c r="O90" s="156"/>
      <c r="P90" s="157"/>
    </row>
    <row r="91" spans="1:16">
      <c r="A91" s="35"/>
      <c r="B91" s="41">
        <v>46244</v>
      </c>
      <c r="C91" s="42">
        <v>58</v>
      </c>
      <c r="D91" s="42">
        <v>776</v>
      </c>
      <c r="E91" s="40">
        <v>1288</v>
      </c>
      <c r="F91" s="42" t="s">
        <v>250</v>
      </c>
      <c r="G91" s="45" t="s">
        <v>623</v>
      </c>
      <c r="H91" s="37"/>
      <c r="I91" s="37">
        <v>209000</v>
      </c>
      <c r="J91" s="43">
        <f t="shared" si="6"/>
        <v>17167362.199999988</v>
      </c>
      <c r="L91" s="155"/>
      <c r="M91" s="156"/>
      <c r="N91" s="156"/>
      <c r="O91" s="156"/>
      <c r="P91" s="157"/>
    </row>
    <row r="92" spans="1:16">
      <c r="A92" s="35"/>
      <c r="B92" s="41">
        <v>46247</v>
      </c>
      <c r="C92" s="42">
        <v>60</v>
      </c>
      <c r="D92" s="42">
        <v>794</v>
      </c>
      <c r="E92" s="40">
        <v>1421</v>
      </c>
      <c r="F92" s="42" t="s">
        <v>250</v>
      </c>
      <c r="G92" s="45" t="s">
        <v>640</v>
      </c>
      <c r="H92" s="37"/>
      <c r="I92" s="37">
        <v>209860</v>
      </c>
      <c r="J92" s="43">
        <f t="shared" si="6"/>
        <v>16957502.199999988</v>
      </c>
      <c r="L92" s="155"/>
      <c r="M92" s="156"/>
      <c r="N92" s="156"/>
      <c r="O92" s="156"/>
      <c r="P92" s="157"/>
    </row>
    <row r="93" spans="1:16">
      <c r="A93" s="35"/>
      <c r="B93" s="41"/>
      <c r="C93" s="42"/>
      <c r="D93" s="42"/>
      <c r="E93" s="40">
        <v>1403</v>
      </c>
      <c r="F93" s="42" t="s">
        <v>678</v>
      </c>
      <c r="G93" s="45" t="s">
        <v>678</v>
      </c>
      <c r="H93" s="37"/>
      <c r="I93" s="37">
        <v>716490</v>
      </c>
      <c r="J93" s="43">
        <f t="shared" si="6"/>
        <v>16241012.199999988</v>
      </c>
      <c r="L93" s="155"/>
      <c r="M93" s="156"/>
      <c r="N93" s="156"/>
      <c r="O93" s="156"/>
      <c r="P93" s="157"/>
    </row>
    <row r="94" spans="1:16">
      <c r="A94" s="35"/>
      <c r="B94" s="41">
        <v>46260</v>
      </c>
      <c r="C94" s="42">
        <v>62</v>
      </c>
      <c r="D94" s="42">
        <v>871</v>
      </c>
      <c r="E94" s="40"/>
      <c r="F94" s="42" t="s">
        <v>250</v>
      </c>
      <c r="G94" s="45" t="s">
        <v>679</v>
      </c>
      <c r="H94" s="37"/>
      <c r="I94" s="37">
        <v>213010</v>
      </c>
      <c r="J94" s="43">
        <f t="shared" si="6"/>
        <v>16028002.199999988</v>
      </c>
      <c r="L94" s="155"/>
      <c r="M94" s="156"/>
      <c r="N94" s="156"/>
      <c r="O94" s="156"/>
      <c r="P94" s="157"/>
    </row>
    <row r="95" spans="1:16">
      <c r="A95" s="35"/>
      <c r="B95" s="41">
        <v>46262</v>
      </c>
      <c r="C95" s="42">
        <v>64</v>
      </c>
      <c r="D95" s="42" t="s">
        <v>751</v>
      </c>
      <c r="E95" s="40"/>
      <c r="F95" s="42" t="s">
        <v>542</v>
      </c>
      <c r="G95" s="45" t="s">
        <v>613</v>
      </c>
      <c r="H95" s="37"/>
      <c r="I95" s="37">
        <v>4391100</v>
      </c>
      <c r="J95" s="43">
        <f t="shared" si="6"/>
        <v>11636902.199999988</v>
      </c>
      <c r="L95" s="155"/>
      <c r="M95" s="156"/>
      <c r="N95" s="156"/>
      <c r="O95" s="156"/>
      <c r="P95" s="157"/>
    </row>
    <row r="96" spans="1:16">
      <c r="A96" s="35"/>
      <c r="B96" s="41"/>
      <c r="C96" s="42"/>
      <c r="D96" s="42"/>
      <c r="E96" s="40"/>
      <c r="F96" s="42"/>
      <c r="G96" s="45"/>
      <c r="H96" s="37"/>
      <c r="I96" s="37"/>
      <c r="J96" s="43">
        <f t="shared" si="6"/>
        <v>11636902.199999988</v>
      </c>
      <c r="L96" s="155"/>
      <c r="M96" s="156"/>
      <c r="N96" s="156"/>
      <c r="O96" s="156"/>
      <c r="P96" s="157"/>
    </row>
    <row r="97" spans="1:16">
      <c r="A97" s="35"/>
      <c r="B97" s="320" t="s">
        <v>131</v>
      </c>
      <c r="C97" s="321"/>
      <c r="D97" s="321"/>
      <c r="E97" s="321"/>
      <c r="F97" s="321"/>
      <c r="G97" s="321"/>
      <c r="H97" s="321"/>
      <c r="I97" s="321"/>
      <c r="J97" s="322"/>
    </row>
    <row r="98" spans="1:16">
      <c r="A98" s="35"/>
      <c r="B98" s="41"/>
      <c r="C98" s="42"/>
      <c r="D98" s="42"/>
      <c r="E98" s="40"/>
      <c r="F98" s="42" t="s">
        <v>171</v>
      </c>
      <c r="G98" s="42" t="s">
        <v>171</v>
      </c>
      <c r="H98" s="37">
        <f>+SUBVENCION!S9+SUBVENCION!T9</f>
        <v>11583142</v>
      </c>
      <c r="I98" s="37"/>
      <c r="J98" s="43">
        <f>+J96+H98-I98</f>
        <v>23220044.199999988</v>
      </c>
    </row>
    <row r="99" spans="1:16">
      <c r="A99" s="35"/>
      <c r="B99" s="41"/>
      <c r="C99" s="42"/>
      <c r="D99" s="42"/>
      <c r="E99" s="40"/>
      <c r="F99" s="42" t="s">
        <v>199</v>
      </c>
      <c r="G99" s="42" t="s">
        <v>199</v>
      </c>
      <c r="H99" s="37"/>
      <c r="I99" s="12">
        <v>7493108</v>
      </c>
      <c r="J99" s="43">
        <f>+J98+H99-I99</f>
        <v>15726936.199999988</v>
      </c>
      <c r="K99" s="44" t="s">
        <v>228</v>
      </c>
      <c r="L99" s="97" t="s">
        <v>5</v>
      </c>
      <c r="M99" s="97" t="s">
        <v>214</v>
      </c>
      <c r="N99" s="97" t="s">
        <v>212</v>
      </c>
      <c r="O99" s="97" t="s">
        <v>213</v>
      </c>
      <c r="P99" s="97" t="s">
        <v>7</v>
      </c>
    </row>
    <row r="100" spans="1:16">
      <c r="A100" s="35"/>
      <c r="B100" s="41">
        <v>46275</v>
      </c>
      <c r="C100" s="42">
        <v>66</v>
      </c>
      <c r="D100" s="42">
        <v>971</v>
      </c>
      <c r="E100" s="40"/>
      <c r="F100" s="42" t="s">
        <v>242</v>
      </c>
      <c r="G100" s="42" t="s">
        <v>739</v>
      </c>
      <c r="H100" s="37"/>
      <c r="I100" s="37">
        <v>197030</v>
      </c>
      <c r="J100" s="43">
        <f t="shared" ref="J100:J105" si="7">+J99+H100-I100</f>
        <v>15529906.199999988</v>
      </c>
      <c r="L100" s="37">
        <f>H98</f>
        <v>11583142</v>
      </c>
      <c r="M100" s="51">
        <f>+L100*10%</f>
        <v>1158314.2</v>
      </c>
      <c r="N100" s="51">
        <f>I99</f>
        <v>7493108</v>
      </c>
      <c r="O100" s="51">
        <f>I100+I101+I102+I105+I103+I104</f>
        <v>954345</v>
      </c>
      <c r="P100" s="303">
        <f>+L100-M100-N100-O100</f>
        <v>1977374.8000000007</v>
      </c>
    </row>
    <row r="101" spans="1:16">
      <c r="A101" s="35"/>
      <c r="B101" s="41">
        <v>46276</v>
      </c>
      <c r="C101" s="42">
        <v>67</v>
      </c>
      <c r="D101" s="42">
        <v>975</v>
      </c>
      <c r="E101" s="40"/>
      <c r="F101" s="42" t="s">
        <v>242</v>
      </c>
      <c r="G101" s="45" t="s">
        <v>242</v>
      </c>
      <c r="H101" s="37"/>
      <c r="I101" s="37">
        <v>113200</v>
      </c>
      <c r="J101" s="43">
        <f t="shared" si="7"/>
        <v>15416706.199999988</v>
      </c>
      <c r="L101" s="186"/>
      <c r="M101" s="186"/>
      <c r="N101" s="186"/>
      <c r="O101" s="186"/>
      <c r="P101" s="186"/>
    </row>
    <row r="102" spans="1:16">
      <c r="A102" s="35"/>
      <c r="B102" s="41">
        <v>46286</v>
      </c>
      <c r="C102" s="42">
        <v>68</v>
      </c>
      <c r="D102" s="42">
        <v>988</v>
      </c>
      <c r="E102" s="40"/>
      <c r="F102" s="42" t="s">
        <v>244</v>
      </c>
      <c r="G102" s="45" t="s">
        <v>219</v>
      </c>
      <c r="H102" s="37"/>
      <c r="I102" s="37">
        <v>215163</v>
      </c>
      <c r="J102" s="43">
        <f t="shared" si="7"/>
        <v>15201543.199999988</v>
      </c>
      <c r="L102" s="186"/>
      <c r="M102" s="186"/>
      <c r="N102" s="186"/>
      <c r="O102" s="186"/>
      <c r="P102" s="186"/>
    </row>
    <row r="103" spans="1:16">
      <c r="A103" s="35"/>
      <c r="B103" s="41">
        <v>46288</v>
      </c>
      <c r="C103" s="42">
        <v>70</v>
      </c>
      <c r="D103" s="42">
        <v>998</v>
      </c>
      <c r="E103" s="236"/>
      <c r="F103" s="42" t="s">
        <v>250</v>
      </c>
      <c r="G103" s="45" t="s">
        <v>250</v>
      </c>
      <c r="H103" s="37"/>
      <c r="I103" s="37">
        <v>214340</v>
      </c>
      <c r="J103" s="43">
        <f t="shared" si="7"/>
        <v>14987203.199999988</v>
      </c>
      <c r="L103" s="186"/>
      <c r="M103" s="186"/>
      <c r="N103" s="186"/>
      <c r="O103" s="186"/>
      <c r="P103" s="186"/>
    </row>
    <row r="104" spans="1:16">
      <c r="A104" s="35"/>
      <c r="B104" s="41">
        <v>46293</v>
      </c>
      <c r="C104" s="42">
        <v>72</v>
      </c>
      <c r="D104" s="42">
        <v>1027</v>
      </c>
      <c r="E104" s="236"/>
      <c r="F104" s="42" t="s">
        <v>250</v>
      </c>
      <c r="G104" s="45" t="s">
        <v>770</v>
      </c>
      <c r="H104" s="37"/>
      <c r="I104" s="37">
        <v>214612</v>
      </c>
      <c r="J104" s="43">
        <f t="shared" si="7"/>
        <v>14772591.199999988</v>
      </c>
      <c r="L104" s="186"/>
      <c r="M104" s="186"/>
      <c r="N104" s="186"/>
      <c r="O104" s="186"/>
      <c r="P104" s="186"/>
    </row>
    <row r="105" spans="1:16">
      <c r="A105" s="35"/>
      <c r="B105" s="41"/>
      <c r="C105" s="42"/>
      <c r="D105" s="42"/>
      <c r="E105" s="40"/>
      <c r="F105" s="42"/>
      <c r="G105" s="42"/>
      <c r="H105" s="37"/>
      <c r="I105" s="37"/>
      <c r="J105" s="43">
        <f t="shared" si="7"/>
        <v>14772591.199999988</v>
      </c>
      <c r="L105" s="186"/>
      <c r="M105" s="186"/>
      <c r="N105" s="186"/>
      <c r="O105" s="186"/>
      <c r="P105" s="186"/>
    </row>
    <row r="106" spans="1:16">
      <c r="A106" s="35"/>
      <c r="B106" s="320" t="s">
        <v>132</v>
      </c>
      <c r="C106" s="321"/>
      <c r="D106" s="321"/>
      <c r="E106" s="321"/>
      <c r="F106" s="321"/>
      <c r="G106" s="321"/>
      <c r="H106" s="321"/>
      <c r="I106" s="321"/>
      <c r="J106" s="322"/>
    </row>
    <row r="107" spans="1:16">
      <c r="A107" s="35"/>
      <c r="B107" s="41"/>
      <c r="C107" s="42"/>
      <c r="D107" s="42"/>
      <c r="E107" s="40"/>
      <c r="F107" s="42" t="s">
        <v>171</v>
      </c>
      <c r="G107" s="42" t="s">
        <v>171</v>
      </c>
      <c r="H107" s="12">
        <f>+SUBVENCION!U9+SUBVENCION!V9</f>
        <v>0</v>
      </c>
      <c r="I107" s="12"/>
      <c r="J107" s="43">
        <f>+J105+H107-I107</f>
        <v>14772591.199999988</v>
      </c>
      <c r="L107" s="97" t="s">
        <v>5</v>
      </c>
      <c r="M107" s="97" t="s">
        <v>214</v>
      </c>
      <c r="N107" s="97" t="s">
        <v>212</v>
      </c>
      <c r="O107" s="97" t="s">
        <v>213</v>
      </c>
      <c r="P107" s="97" t="s">
        <v>7</v>
      </c>
    </row>
    <row r="108" spans="1:16">
      <c r="A108" s="35"/>
      <c r="B108" s="41"/>
      <c r="C108" s="42"/>
      <c r="D108" s="42"/>
      <c r="E108" s="40"/>
      <c r="F108" s="42" t="s">
        <v>199</v>
      </c>
      <c r="G108" s="42" t="s">
        <v>199</v>
      </c>
      <c r="H108" s="12"/>
      <c r="I108" s="12"/>
      <c r="J108" s="43">
        <f>+J107+H108-I108</f>
        <v>14772591.199999988</v>
      </c>
      <c r="L108" s="37">
        <f>H107</f>
        <v>0</v>
      </c>
      <c r="M108" s="51">
        <f>L108*10%</f>
        <v>0</v>
      </c>
      <c r="N108" s="51">
        <f>I108</f>
        <v>0</v>
      </c>
      <c r="O108" s="51">
        <f>SUM(I109:I119)</f>
        <v>214000</v>
      </c>
      <c r="P108" s="187">
        <f>L108-M108-N108-O108</f>
        <v>-214000</v>
      </c>
    </row>
    <row r="109" spans="1:16">
      <c r="A109" s="35"/>
      <c r="B109" s="41">
        <v>46296</v>
      </c>
      <c r="C109" s="42">
        <v>74</v>
      </c>
      <c r="D109" s="18">
        <v>1053</v>
      </c>
      <c r="E109" s="236"/>
      <c r="F109" s="42" t="s">
        <v>242</v>
      </c>
      <c r="G109" s="45" t="s">
        <v>242</v>
      </c>
      <c r="H109" s="12"/>
      <c r="I109" s="12">
        <v>214000</v>
      </c>
      <c r="J109" s="43">
        <f t="shared" ref="J109:J120" si="8">+J108+H109-I109</f>
        <v>14558591.199999988</v>
      </c>
    </row>
    <row r="110" spans="1:16">
      <c r="A110" s="35"/>
      <c r="B110" s="41"/>
      <c r="C110" s="42"/>
      <c r="D110" s="18"/>
      <c r="E110" s="9"/>
      <c r="F110" s="42"/>
      <c r="G110" s="45"/>
      <c r="H110" s="37"/>
      <c r="I110" s="37"/>
      <c r="J110" s="43">
        <f t="shared" si="8"/>
        <v>14558591.199999988</v>
      </c>
    </row>
    <row r="111" spans="1:16">
      <c r="A111" s="35"/>
      <c r="B111" s="19"/>
      <c r="C111" s="18"/>
      <c r="D111" s="18"/>
      <c r="E111" s="9"/>
      <c r="F111" s="18"/>
      <c r="G111" s="10"/>
      <c r="H111" s="12"/>
      <c r="I111" s="12"/>
      <c r="J111" s="8">
        <f t="shared" si="8"/>
        <v>14558591.199999988</v>
      </c>
    </row>
    <row r="112" spans="1:16">
      <c r="A112" s="35"/>
      <c r="B112" s="19"/>
      <c r="C112" s="18"/>
      <c r="D112" s="18"/>
      <c r="E112" s="9"/>
      <c r="F112" s="18"/>
      <c r="G112" s="18"/>
      <c r="H112" s="12"/>
      <c r="I112" s="12"/>
      <c r="J112" s="8">
        <f t="shared" si="8"/>
        <v>14558591.199999988</v>
      </c>
    </row>
    <row r="113" spans="1:16">
      <c r="A113" s="35"/>
      <c r="B113" s="19"/>
      <c r="C113" s="18"/>
      <c r="D113" s="18"/>
      <c r="E113" s="9"/>
      <c r="F113" s="18"/>
      <c r="G113" s="10"/>
      <c r="H113" s="12"/>
      <c r="I113" s="12"/>
      <c r="J113" s="43">
        <f t="shared" si="8"/>
        <v>14558591.199999988</v>
      </c>
    </row>
    <row r="114" spans="1:16">
      <c r="A114" s="35"/>
      <c r="B114" s="19"/>
      <c r="C114" s="18"/>
      <c r="D114" s="18"/>
      <c r="E114" s="9"/>
      <c r="F114" s="18"/>
      <c r="G114" s="10"/>
      <c r="H114" s="12"/>
      <c r="I114" s="12"/>
      <c r="J114" s="43">
        <f t="shared" si="8"/>
        <v>14558591.199999988</v>
      </c>
    </row>
    <row r="115" spans="1:16">
      <c r="A115" s="35"/>
      <c r="B115" s="19"/>
      <c r="C115" s="18"/>
      <c r="D115" s="18"/>
      <c r="E115" s="9"/>
      <c r="F115" s="18"/>
      <c r="G115" s="10"/>
      <c r="H115" s="12"/>
      <c r="I115" s="12"/>
      <c r="J115" s="43">
        <f t="shared" si="8"/>
        <v>14558591.199999988</v>
      </c>
    </row>
    <row r="116" spans="1:16">
      <c r="A116" s="35"/>
      <c r="B116" s="41"/>
      <c r="C116" s="42"/>
      <c r="D116" s="18"/>
      <c r="E116" s="9"/>
      <c r="F116" s="18"/>
      <c r="G116" s="18"/>
      <c r="H116" s="37"/>
      <c r="I116" s="37"/>
      <c r="J116" s="43">
        <f t="shared" si="8"/>
        <v>14558591.199999988</v>
      </c>
      <c r="L116" s="186"/>
      <c r="M116" s="186"/>
      <c r="N116" s="186"/>
      <c r="O116" s="186"/>
      <c r="P116" s="186"/>
    </row>
    <row r="117" spans="1:16">
      <c r="A117" s="35"/>
      <c r="B117" s="41"/>
      <c r="C117" s="42"/>
      <c r="D117" s="18"/>
      <c r="E117" s="9"/>
      <c r="F117" s="18"/>
      <c r="G117" s="18"/>
      <c r="H117" s="37"/>
      <c r="I117" s="37"/>
      <c r="J117" s="43">
        <f t="shared" si="8"/>
        <v>14558591.199999988</v>
      </c>
      <c r="L117" s="186"/>
      <c r="M117" s="186"/>
      <c r="N117" s="186"/>
      <c r="O117" s="186"/>
      <c r="P117" s="186"/>
    </row>
    <row r="118" spans="1:16">
      <c r="A118" s="35"/>
      <c r="B118" s="41"/>
      <c r="C118" s="42"/>
      <c r="D118" s="42"/>
      <c r="E118" s="40"/>
      <c r="F118" s="42"/>
      <c r="G118" s="45"/>
      <c r="H118" s="37"/>
      <c r="I118" s="37"/>
      <c r="J118" s="43">
        <f t="shared" si="8"/>
        <v>14558591.199999988</v>
      </c>
      <c r="L118" s="186"/>
      <c r="M118" s="186"/>
      <c r="N118" s="186"/>
      <c r="O118" s="186"/>
      <c r="P118" s="186"/>
    </row>
    <row r="119" spans="1:16">
      <c r="A119" s="35"/>
      <c r="B119" s="41"/>
      <c r="C119" s="42"/>
      <c r="D119" s="42"/>
      <c r="E119" s="40"/>
      <c r="F119" s="42"/>
      <c r="G119" s="45"/>
      <c r="H119" s="37"/>
      <c r="I119" s="37"/>
      <c r="J119" s="43">
        <f t="shared" si="8"/>
        <v>14558591.199999988</v>
      </c>
      <c r="L119" s="155"/>
      <c r="M119" s="156"/>
      <c r="N119" s="156"/>
      <c r="O119" s="156"/>
      <c r="P119" s="157"/>
    </row>
    <row r="120" spans="1:16">
      <c r="A120" s="35"/>
      <c r="B120" s="41"/>
      <c r="C120" s="42"/>
      <c r="D120" s="42"/>
      <c r="E120" s="40"/>
      <c r="F120" s="42"/>
      <c r="G120" s="42"/>
      <c r="H120" s="37"/>
      <c r="I120" s="37"/>
      <c r="J120" s="43">
        <f t="shared" si="8"/>
        <v>14558591.199999988</v>
      </c>
      <c r="L120" s="155"/>
      <c r="M120" s="156"/>
      <c r="N120" s="156"/>
      <c r="O120" s="156"/>
      <c r="P120" s="157"/>
    </row>
    <row r="121" spans="1:16">
      <c r="A121" s="35"/>
      <c r="B121" s="41"/>
      <c r="C121" s="42"/>
      <c r="D121" s="42"/>
      <c r="E121" s="40"/>
      <c r="F121" s="42"/>
      <c r="G121" s="45"/>
      <c r="H121" s="37"/>
      <c r="I121" s="37"/>
      <c r="J121" s="43"/>
      <c r="L121" s="155"/>
      <c r="M121" s="156"/>
      <c r="N121" s="156"/>
      <c r="O121" s="156"/>
      <c r="P121" s="157"/>
    </row>
    <row r="122" spans="1:16">
      <c r="A122" s="35"/>
      <c r="B122" s="320" t="s">
        <v>133</v>
      </c>
      <c r="C122" s="321"/>
      <c r="D122" s="321"/>
      <c r="E122" s="321"/>
      <c r="F122" s="321"/>
      <c r="G122" s="321"/>
      <c r="H122" s="321"/>
      <c r="I122" s="321"/>
      <c r="J122" s="322"/>
    </row>
    <row r="123" spans="1:16">
      <c r="A123" s="35"/>
      <c r="B123" s="41"/>
      <c r="C123" s="42"/>
      <c r="D123" s="42"/>
      <c r="E123" s="40"/>
      <c r="F123" s="42" t="s">
        <v>171</v>
      </c>
      <c r="G123" s="42" t="s">
        <v>171</v>
      </c>
      <c r="H123" s="37">
        <f>+SUBVENCION!W9+SUBVENCION!X9</f>
        <v>0</v>
      </c>
      <c r="I123" s="37"/>
      <c r="J123" s="110">
        <f>+J120+H123-I123</f>
        <v>14558591.199999988</v>
      </c>
      <c r="K123" s="44" t="s">
        <v>234</v>
      </c>
      <c r="L123" s="97" t="s">
        <v>5</v>
      </c>
      <c r="M123" s="97" t="s">
        <v>214</v>
      </c>
      <c r="N123" s="97" t="s">
        <v>212</v>
      </c>
      <c r="O123" s="97" t="s">
        <v>213</v>
      </c>
      <c r="P123" s="97" t="s">
        <v>7</v>
      </c>
    </row>
    <row r="124" spans="1:16">
      <c r="A124" s="35"/>
      <c r="B124" s="41"/>
      <c r="C124" s="42"/>
      <c r="D124" s="42"/>
      <c r="E124" s="40"/>
      <c r="F124" s="42" t="s">
        <v>199</v>
      </c>
      <c r="G124" s="42" t="s">
        <v>199</v>
      </c>
      <c r="H124" s="46"/>
      <c r="I124" s="37"/>
      <c r="J124" s="110">
        <f>+J123+H124-I124</f>
        <v>14558591.199999988</v>
      </c>
      <c r="L124" s="37"/>
      <c r="M124" s="51"/>
      <c r="N124" s="51"/>
      <c r="O124" s="51"/>
      <c r="P124" s="153"/>
    </row>
    <row r="125" spans="1:16">
      <c r="A125" s="35"/>
      <c r="B125" s="41"/>
      <c r="C125" s="42"/>
      <c r="D125" s="18"/>
      <c r="E125" s="9"/>
      <c r="F125" s="41"/>
      <c r="G125" s="41"/>
      <c r="H125" s="46"/>
      <c r="I125" s="37"/>
      <c r="J125" s="110">
        <f t="shared" ref="J125:J133" si="9">+J124+H125-I125</f>
        <v>14558591.199999988</v>
      </c>
    </row>
    <row r="126" spans="1:16">
      <c r="A126" s="35"/>
      <c r="B126" s="41"/>
      <c r="C126" s="42"/>
      <c r="D126" s="42"/>
      <c r="E126" s="40"/>
      <c r="F126" s="42"/>
      <c r="G126" s="45"/>
      <c r="H126" s="37"/>
      <c r="I126" s="37"/>
      <c r="J126" s="110">
        <f t="shared" si="9"/>
        <v>14558591.199999988</v>
      </c>
    </row>
    <row r="127" spans="1:16">
      <c r="A127" s="35"/>
      <c r="B127" s="41"/>
      <c r="C127" s="42"/>
      <c r="D127" s="42"/>
      <c r="E127" s="40"/>
      <c r="F127" s="42"/>
      <c r="G127" s="45"/>
      <c r="H127" s="37"/>
      <c r="I127" s="37"/>
      <c r="J127" s="110">
        <f t="shared" si="9"/>
        <v>14558591.199999988</v>
      </c>
    </row>
    <row r="128" spans="1:16">
      <c r="A128" s="35"/>
      <c r="B128" s="41"/>
      <c r="C128" s="42"/>
      <c r="D128" s="42"/>
      <c r="E128" s="40"/>
      <c r="F128" s="42"/>
      <c r="G128" s="42"/>
      <c r="H128" s="37"/>
      <c r="I128" s="37"/>
      <c r="J128" s="110">
        <f t="shared" si="9"/>
        <v>14558591.199999988</v>
      </c>
    </row>
    <row r="129" spans="1:16">
      <c r="A129" s="35"/>
      <c r="B129" s="41"/>
      <c r="C129" s="42"/>
      <c r="D129" s="42"/>
      <c r="E129" s="40"/>
      <c r="F129" s="42"/>
      <c r="G129" s="42"/>
      <c r="H129" s="37"/>
      <c r="I129" s="37"/>
      <c r="J129" s="110">
        <f>+J128+H129-I129</f>
        <v>14558591.199999988</v>
      </c>
    </row>
    <row r="130" spans="1:16">
      <c r="A130" s="35"/>
      <c r="B130" s="41"/>
      <c r="C130" s="42"/>
      <c r="D130" s="42"/>
      <c r="E130" s="40"/>
      <c r="F130" s="42"/>
      <c r="G130" s="45"/>
      <c r="H130" s="37"/>
      <c r="I130" s="37"/>
      <c r="J130" s="110">
        <f>+J129+H130-I130</f>
        <v>14558591.199999988</v>
      </c>
    </row>
    <row r="131" spans="1:16">
      <c r="A131" s="35"/>
      <c r="B131" s="41"/>
      <c r="C131" s="42"/>
      <c r="D131" s="42"/>
      <c r="E131" s="40"/>
      <c r="F131" s="42"/>
      <c r="G131" s="45"/>
      <c r="H131" s="37"/>
      <c r="I131" s="37"/>
      <c r="J131" s="110">
        <f t="shared" si="9"/>
        <v>14558591.199999988</v>
      </c>
    </row>
    <row r="132" spans="1:16">
      <c r="A132" s="35"/>
      <c r="B132" s="41"/>
      <c r="C132" s="42"/>
      <c r="D132" s="42"/>
      <c r="E132" s="40"/>
      <c r="F132" s="42"/>
      <c r="G132" s="45"/>
      <c r="H132" s="37"/>
      <c r="I132" s="37"/>
      <c r="J132" s="110">
        <f t="shared" si="9"/>
        <v>14558591.199999988</v>
      </c>
      <c r="L132" s="186"/>
      <c r="M132" s="186"/>
      <c r="N132" s="186"/>
      <c r="O132" s="186"/>
      <c r="P132" s="186"/>
    </row>
    <row r="133" spans="1:16">
      <c r="A133" s="35"/>
      <c r="B133" s="41"/>
      <c r="C133" s="42"/>
      <c r="D133" s="42"/>
      <c r="E133" s="40"/>
      <c r="F133" s="42"/>
      <c r="G133" s="45"/>
      <c r="H133" s="37"/>
      <c r="I133" s="37"/>
      <c r="J133" s="110">
        <f t="shared" si="9"/>
        <v>14558591.199999988</v>
      </c>
      <c r="L133" s="155"/>
      <c r="M133" s="156"/>
      <c r="N133" s="156"/>
      <c r="O133" s="156"/>
      <c r="P133" s="157"/>
    </row>
    <row r="134" spans="1:16">
      <c r="A134" s="35"/>
      <c r="B134" s="320" t="s">
        <v>134</v>
      </c>
      <c r="C134" s="321"/>
      <c r="D134" s="321"/>
      <c r="E134" s="321"/>
      <c r="F134" s="321"/>
      <c r="G134" s="321"/>
      <c r="H134" s="321"/>
      <c r="I134" s="321"/>
      <c r="J134" s="322"/>
    </row>
    <row r="135" spans="1:16">
      <c r="A135" s="35"/>
      <c r="B135" s="41"/>
      <c r="C135" s="42"/>
      <c r="D135" s="42"/>
      <c r="E135" s="40"/>
      <c r="F135" s="42" t="s">
        <v>171</v>
      </c>
      <c r="G135" s="42" t="s">
        <v>171</v>
      </c>
      <c r="H135" s="37">
        <f>+SUBVENCION!Y9+SUBVENCION!Z9</f>
        <v>0</v>
      </c>
      <c r="I135" s="37"/>
      <c r="J135" s="43">
        <f>+J133+H135-I135</f>
        <v>14558591.199999988</v>
      </c>
      <c r="K135" s="44" t="s">
        <v>134</v>
      </c>
      <c r="L135" s="97" t="s">
        <v>5</v>
      </c>
      <c r="M135" s="97" t="s">
        <v>214</v>
      </c>
      <c r="N135" s="97" t="s">
        <v>212</v>
      </c>
      <c r="O135" s="97" t="s">
        <v>213</v>
      </c>
      <c r="P135" s="97" t="s">
        <v>7</v>
      </c>
    </row>
    <row r="136" spans="1:16">
      <c r="A136" s="35"/>
      <c r="B136" s="41"/>
      <c r="C136" s="42"/>
      <c r="D136" s="42"/>
      <c r="E136" s="40"/>
      <c r="F136" s="42" t="s">
        <v>199</v>
      </c>
      <c r="G136" s="42" t="s">
        <v>199</v>
      </c>
      <c r="H136" s="37"/>
      <c r="I136" s="37"/>
      <c r="J136" s="43">
        <f>+J135+H136-I136</f>
        <v>14558591.199999988</v>
      </c>
      <c r="L136" s="37"/>
      <c r="M136" s="51"/>
      <c r="N136" s="51"/>
      <c r="O136" s="51"/>
      <c r="P136" s="153"/>
    </row>
    <row r="137" spans="1:16">
      <c r="A137" s="35"/>
      <c r="B137" s="41"/>
      <c r="C137" s="42"/>
      <c r="D137" s="42"/>
      <c r="E137" s="40"/>
      <c r="F137" s="42"/>
      <c r="G137" s="45"/>
      <c r="H137" s="37"/>
      <c r="I137" s="37"/>
      <c r="J137" s="43">
        <f t="shared" ref="J137:J143" si="10">+J136+H137-I137</f>
        <v>14558591.199999988</v>
      </c>
    </row>
    <row r="138" spans="1:16">
      <c r="A138" s="35"/>
      <c r="B138" s="41"/>
      <c r="C138" s="42"/>
      <c r="D138" s="42"/>
      <c r="E138" s="40"/>
      <c r="F138" s="42"/>
      <c r="G138" s="45"/>
      <c r="H138" s="37"/>
      <c r="I138" s="37"/>
      <c r="J138" s="43">
        <f t="shared" si="10"/>
        <v>14558591.199999988</v>
      </c>
    </row>
    <row r="139" spans="1:16">
      <c r="A139" s="35"/>
      <c r="B139" s="41"/>
      <c r="C139" s="42"/>
      <c r="D139" s="42"/>
      <c r="E139" s="40"/>
      <c r="F139" s="42"/>
      <c r="G139" s="42"/>
      <c r="H139" s="37"/>
      <c r="I139" s="37"/>
      <c r="J139" s="43">
        <f t="shared" si="10"/>
        <v>14558591.199999988</v>
      </c>
    </row>
    <row r="140" spans="1:16">
      <c r="A140" s="48"/>
      <c r="B140" s="41"/>
      <c r="C140" s="42"/>
      <c r="D140" s="42"/>
      <c r="E140" s="40"/>
      <c r="F140" s="42"/>
      <c r="G140" s="42"/>
      <c r="H140" s="37"/>
      <c r="I140" s="37"/>
      <c r="J140" s="43">
        <f t="shared" si="10"/>
        <v>14558591.199999988</v>
      </c>
      <c r="K140" s="44" t="s">
        <v>215</v>
      </c>
      <c r="L140" s="97" t="s">
        <v>5</v>
      </c>
      <c r="M140" s="97" t="s">
        <v>214</v>
      </c>
      <c r="N140" s="97" t="s">
        <v>212</v>
      </c>
      <c r="O140" s="97" t="s">
        <v>213</v>
      </c>
      <c r="P140" s="97" t="s">
        <v>7</v>
      </c>
    </row>
    <row r="141" spans="1:16">
      <c r="B141" s="41"/>
      <c r="C141" s="42"/>
      <c r="D141" s="42"/>
      <c r="E141" s="40"/>
      <c r="F141" s="42"/>
      <c r="G141" s="45"/>
      <c r="H141" s="37"/>
      <c r="I141" s="37"/>
      <c r="J141" s="43">
        <f t="shared" si="10"/>
        <v>14558591.199999988</v>
      </c>
      <c r="L141" s="37">
        <f>+H11+H15+H20+H35+H49+H59+H70+H83+H98+H107+H123+H135</f>
        <v>108685857</v>
      </c>
      <c r="M141" s="51">
        <f>+L141*10%</f>
        <v>10868585.700000001</v>
      </c>
      <c r="N141" s="51">
        <f>+I12+I16+I21+I36+I50+I60+I71+I84+I99+I108+I124+I136</f>
        <v>74073402</v>
      </c>
      <c r="O141" s="51">
        <f>+I13+I17+I18+I22+I23+I25+I24+I26+I27+I37+I38+I39+I40+I41+I42+I72+I51+I52+I53+I54+I55+I61+I62+I63+I64+I65+I66+I67+I68+I73+I74+I75+I76+I77+I78+I79+I80+I81+I85+I86+I87+I88+I89+I90+I91+I92+I93+I94+I95+I100+I101+I102+I103+I104+I109</f>
        <v>21130648</v>
      </c>
      <c r="P141" s="153">
        <f>+L141-M141-N141-O141</f>
        <v>2613221.299999997</v>
      </c>
    </row>
    <row r="142" spans="1:16">
      <c r="B142" s="41"/>
      <c r="C142" s="42"/>
      <c r="D142" s="42"/>
      <c r="E142" s="40"/>
      <c r="F142" s="42"/>
      <c r="G142" s="42"/>
      <c r="H142" s="37"/>
      <c r="I142" s="37"/>
      <c r="J142" s="43">
        <f t="shared" si="10"/>
        <v>14558591.199999988</v>
      </c>
      <c r="L142" s="155"/>
      <c r="M142" s="156"/>
      <c r="N142" s="156"/>
      <c r="O142" s="156"/>
      <c r="P142" s="157"/>
    </row>
    <row r="143" spans="1:16">
      <c r="B143" s="41"/>
      <c r="C143" s="42"/>
      <c r="D143" s="42"/>
      <c r="E143" s="40"/>
      <c r="F143" s="42"/>
      <c r="G143" s="42"/>
      <c r="H143" s="37"/>
      <c r="I143" s="37"/>
      <c r="J143" s="43">
        <f t="shared" si="10"/>
        <v>14558591.199999988</v>
      </c>
    </row>
    <row r="144" spans="1:16">
      <c r="B144" s="41"/>
      <c r="C144" s="42"/>
      <c r="D144" s="42"/>
      <c r="E144" s="40"/>
      <c r="F144" s="42" t="s">
        <v>201</v>
      </c>
      <c r="G144" s="45" t="s">
        <v>135</v>
      </c>
      <c r="H144" s="37">
        <f>(H11+H15+H20+H35+H49+H59+H70+H83+H98+H107+H123+H135)*-10%</f>
        <v>-10868585.700000001</v>
      </c>
      <c r="I144" s="37"/>
      <c r="J144" s="43">
        <f>+J143+H144-I144</f>
        <v>3690005.499999987</v>
      </c>
      <c r="P144" s="154"/>
    </row>
    <row r="145" spans="2:16">
      <c r="B145" s="46" t="s">
        <v>8</v>
      </c>
      <c r="C145" s="97" t="s">
        <v>8</v>
      </c>
      <c r="D145" s="97"/>
      <c r="E145" s="97"/>
      <c r="F145" s="97"/>
      <c r="G145" s="97" t="s">
        <v>9</v>
      </c>
      <c r="H145" s="38">
        <f>SUM(H9:H144)</f>
        <v>98894055.499999985</v>
      </c>
      <c r="I145" s="38">
        <f>SUM(I9:I144)</f>
        <v>95204050</v>
      </c>
      <c r="J145" s="38">
        <f>+H145-I145</f>
        <v>3690005.4999999851</v>
      </c>
      <c r="L145" s="104">
        <f>L12+L16+L23+L37+L52+L60+L72+L88+L100+L108+L124+L136</f>
        <v>108685857</v>
      </c>
      <c r="M145" s="104">
        <f t="shared" ref="M145:P145" si="11">M12+M16+M23+M37+M52+M60+M72+M88+M100+M108+M124+M136</f>
        <v>10868585.699999999</v>
      </c>
      <c r="N145" s="104">
        <f t="shared" si="11"/>
        <v>74073402</v>
      </c>
      <c r="O145" s="104">
        <f t="shared" si="11"/>
        <v>21130648</v>
      </c>
      <c r="P145" s="104">
        <f t="shared" si="11"/>
        <v>2613221.2999999989</v>
      </c>
    </row>
    <row r="147" spans="2:16">
      <c r="I147" s="50"/>
    </row>
    <row r="148" spans="2:16">
      <c r="N148" s="181"/>
    </row>
    <row r="149" spans="2:16">
      <c r="L149" s="50"/>
    </row>
    <row r="150" spans="2:16">
      <c r="G150" s="44" t="s">
        <v>210</v>
      </c>
      <c r="H150" s="97" t="s">
        <v>5</v>
      </c>
      <c r="I150" s="97" t="s">
        <v>6</v>
      </c>
      <c r="J150" s="97" t="s">
        <v>198</v>
      </c>
    </row>
    <row r="151" spans="2:16">
      <c r="H151" s="37">
        <f>+H145</f>
        <v>98894055.499999985</v>
      </c>
      <c r="I151" s="43">
        <f>+I145</f>
        <v>95204050</v>
      </c>
      <c r="J151" s="143">
        <f>+I151*100/H151</f>
        <v>96.268728710392523</v>
      </c>
    </row>
  </sheetData>
  <autoFilter ref="A8:J140" xr:uid="{00000000-0009-0000-0000-000004000000}"/>
  <mergeCells count="18">
    <mergeCell ref="B69:J69"/>
    <mergeCell ref="B134:J134"/>
    <mergeCell ref="B122:J122"/>
    <mergeCell ref="B106:J106"/>
    <mergeCell ref="B97:J97"/>
    <mergeCell ref="B82:J82"/>
    <mergeCell ref="B10:J10"/>
    <mergeCell ref="B58:J58"/>
    <mergeCell ref="B48:J48"/>
    <mergeCell ref="B2:J2"/>
    <mergeCell ref="B3:J3"/>
    <mergeCell ref="B7:J7"/>
    <mergeCell ref="B6:J6"/>
    <mergeCell ref="B5:J5"/>
    <mergeCell ref="B4:J4"/>
    <mergeCell ref="B34:J34"/>
    <mergeCell ref="B14:J14"/>
    <mergeCell ref="B19:J19"/>
  </mergeCells>
  <conditionalFormatting sqref="H1:J18">
    <cfRule type="cellIs" dxfId="167" priority="3" operator="lessThan">
      <formula>0</formula>
    </cfRule>
  </conditionalFormatting>
  <conditionalFormatting sqref="H20:J81">
    <cfRule type="cellIs" dxfId="166" priority="2" operator="lessThan">
      <formula>0</formula>
    </cfRule>
  </conditionalFormatting>
  <conditionalFormatting sqref="H83:J96 H123">
    <cfRule type="cellIs" dxfId="165" priority="9" operator="lessThan">
      <formula>0</formula>
    </cfRule>
  </conditionalFormatting>
  <conditionalFormatting sqref="H98:J105 H126:I133">
    <cfRule type="cellIs" dxfId="164" priority="17" operator="lessThan">
      <formula>0</formula>
    </cfRule>
  </conditionalFormatting>
  <conditionalFormatting sqref="H107:J121 H152:J1048576">
    <cfRule type="cellIs" dxfId="163" priority="18" operator="lessThan">
      <formula>0</formula>
    </cfRule>
  </conditionalFormatting>
  <conditionalFormatting sqref="H135:J149">
    <cfRule type="cellIs" dxfId="162" priority="4" operator="lessThan">
      <formula>0</formula>
    </cfRule>
  </conditionalFormatting>
  <conditionalFormatting sqref="I123:I125">
    <cfRule type="cellIs" dxfId="161" priority="10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19"/>
  <sheetViews>
    <sheetView showGridLines="0" topLeftCell="A85" zoomScale="93" zoomScaleNormal="93" workbookViewId="0">
      <selection activeCell="N118" sqref="N118"/>
    </sheetView>
  </sheetViews>
  <sheetFormatPr baseColWidth="10" defaultRowHeight="11.25"/>
  <cols>
    <col min="1" max="3" width="11.42578125" style="44"/>
    <col min="4" max="4" width="20.140625" style="44" customWidth="1"/>
    <col min="5" max="5" width="11.42578125" style="44"/>
    <col min="6" max="6" width="32.85546875" style="44" customWidth="1"/>
    <col min="7" max="7" width="36.140625" style="44" bestFit="1" customWidth="1"/>
    <col min="8" max="9" width="11.42578125" style="44"/>
    <col min="10" max="10" width="11.42578125" style="57"/>
    <col min="11" max="16384" width="11.42578125" style="44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59"/>
    </row>
    <row r="2" spans="1:16" ht="12">
      <c r="A2" s="35"/>
      <c r="B2" s="359" t="s">
        <v>0</v>
      </c>
      <c r="C2" s="359"/>
      <c r="D2" s="359"/>
      <c r="E2" s="359"/>
      <c r="F2" s="359"/>
      <c r="G2" s="359"/>
      <c r="H2" s="359"/>
      <c r="I2" s="359"/>
      <c r="J2" s="359"/>
    </row>
    <row r="3" spans="1:16" ht="12">
      <c r="A3" s="35"/>
      <c r="B3" s="359" t="s">
        <v>1</v>
      </c>
      <c r="C3" s="359"/>
      <c r="D3" s="359"/>
      <c r="E3" s="359"/>
      <c r="F3" s="359"/>
      <c r="G3" s="359"/>
      <c r="H3" s="359"/>
      <c r="I3" s="359"/>
      <c r="J3" s="359"/>
    </row>
    <row r="4" spans="1:16" ht="12">
      <c r="A4" s="35"/>
      <c r="B4" s="353" t="s">
        <v>83</v>
      </c>
      <c r="C4" s="354"/>
      <c r="D4" s="354"/>
      <c r="E4" s="354"/>
      <c r="F4" s="354"/>
      <c r="G4" s="354"/>
      <c r="H4" s="354"/>
      <c r="I4" s="354"/>
      <c r="J4" s="355"/>
    </row>
    <row r="5" spans="1:16" ht="12">
      <c r="A5" s="35"/>
      <c r="B5" s="353" t="s">
        <v>216</v>
      </c>
      <c r="C5" s="354"/>
      <c r="D5" s="354"/>
      <c r="E5" s="354"/>
      <c r="F5" s="354"/>
      <c r="G5" s="354"/>
      <c r="H5" s="354"/>
      <c r="I5" s="354"/>
      <c r="J5" s="355"/>
    </row>
    <row r="6" spans="1:16" ht="12">
      <c r="A6" s="35"/>
      <c r="B6" s="353" t="s">
        <v>74</v>
      </c>
      <c r="C6" s="354"/>
      <c r="D6" s="354"/>
      <c r="E6" s="354"/>
      <c r="F6" s="354"/>
      <c r="G6" s="354"/>
      <c r="H6" s="354"/>
      <c r="I6" s="354"/>
      <c r="J6" s="355"/>
    </row>
    <row r="7" spans="1:16" ht="12">
      <c r="A7" s="35"/>
      <c r="B7" s="353" t="s">
        <v>82</v>
      </c>
      <c r="C7" s="354"/>
      <c r="D7" s="354"/>
      <c r="E7" s="354"/>
      <c r="F7" s="354"/>
      <c r="G7" s="354"/>
      <c r="H7" s="354"/>
      <c r="I7" s="354"/>
      <c r="J7" s="355"/>
    </row>
    <row r="8" spans="1:16" ht="12">
      <c r="A8" s="35"/>
      <c r="B8" s="237" t="s">
        <v>3</v>
      </c>
      <c r="C8" s="238" t="s">
        <v>11</v>
      </c>
      <c r="D8" s="238" t="s">
        <v>10</v>
      </c>
      <c r="E8" s="238" t="s">
        <v>16</v>
      </c>
      <c r="F8" s="238" t="s">
        <v>70</v>
      </c>
      <c r="G8" s="238" t="s">
        <v>4</v>
      </c>
      <c r="H8" s="239" t="s">
        <v>5</v>
      </c>
      <c r="I8" s="239" t="s">
        <v>6</v>
      </c>
      <c r="J8" s="240" t="s">
        <v>7</v>
      </c>
    </row>
    <row r="9" spans="1:16" ht="12">
      <c r="A9" s="35"/>
      <c r="B9" s="237"/>
      <c r="C9" s="238"/>
      <c r="D9" s="238"/>
      <c r="E9" s="238"/>
      <c r="F9" s="238"/>
      <c r="G9" s="241" t="s">
        <v>237</v>
      </c>
      <c r="H9" s="242">
        <v>2559585</v>
      </c>
      <c r="I9" s="239"/>
      <c r="J9" s="243">
        <f>+H9-I9</f>
        <v>2559585</v>
      </c>
    </row>
    <row r="10" spans="1:16" ht="12">
      <c r="A10" s="35"/>
      <c r="B10" s="356" t="s">
        <v>66</v>
      </c>
      <c r="C10" s="357"/>
      <c r="D10" s="357"/>
      <c r="E10" s="357"/>
      <c r="F10" s="357"/>
      <c r="G10" s="357"/>
      <c r="H10" s="357"/>
      <c r="I10" s="357"/>
      <c r="J10" s="358"/>
    </row>
    <row r="11" spans="1:16" ht="12">
      <c r="A11" s="35"/>
      <c r="B11" s="244"/>
      <c r="C11" s="241"/>
      <c r="D11" s="241"/>
      <c r="E11" s="241"/>
      <c r="F11" s="241" t="s">
        <v>171</v>
      </c>
      <c r="G11" s="241" t="s">
        <v>171</v>
      </c>
      <c r="H11" s="245">
        <f>SUBVENCION!C10+SUBVENCION!D10</f>
        <v>7160173</v>
      </c>
      <c r="I11" s="245"/>
      <c r="J11" s="246">
        <f>+H11</f>
        <v>7160173</v>
      </c>
      <c r="K11" s="44" t="s">
        <v>66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</row>
    <row r="12" spans="1:16" ht="12">
      <c r="A12" s="35"/>
      <c r="B12" s="244"/>
      <c r="C12" s="241"/>
      <c r="D12" s="241"/>
      <c r="E12" s="241"/>
      <c r="F12" s="241" t="s">
        <v>199</v>
      </c>
      <c r="G12" s="241" t="s">
        <v>199</v>
      </c>
      <c r="H12" s="245"/>
      <c r="I12" s="245">
        <v>4323530</v>
      </c>
      <c r="J12" s="246">
        <f>+J11+H12-I12</f>
        <v>2836643</v>
      </c>
      <c r="L12" s="37">
        <f>+H11</f>
        <v>7160173</v>
      </c>
      <c r="M12" s="51">
        <f>+L12*10%</f>
        <v>716017.3</v>
      </c>
      <c r="N12" s="51">
        <f>+I12</f>
        <v>4323530</v>
      </c>
      <c r="O12" s="51">
        <f>I13</f>
        <v>0</v>
      </c>
      <c r="P12" s="303">
        <f>+L12-M12-N12-O12</f>
        <v>2120625.7000000002</v>
      </c>
    </row>
    <row r="13" spans="1:16" ht="12">
      <c r="A13" s="35"/>
      <c r="B13" s="244"/>
      <c r="C13" s="241"/>
      <c r="D13" s="241"/>
      <c r="E13" s="241"/>
      <c r="F13" s="241"/>
      <c r="G13" s="247"/>
      <c r="H13" s="245"/>
      <c r="I13" s="245"/>
      <c r="J13" s="246">
        <f>+J12+H13-I13</f>
        <v>2836643</v>
      </c>
    </row>
    <row r="14" spans="1:16" ht="12">
      <c r="A14" s="35"/>
      <c r="B14" s="356" t="s">
        <v>67</v>
      </c>
      <c r="C14" s="357"/>
      <c r="D14" s="357"/>
      <c r="E14" s="357"/>
      <c r="F14" s="357"/>
      <c r="G14" s="357"/>
      <c r="H14" s="357"/>
      <c r="I14" s="357"/>
      <c r="J14" s="358"/>
    </row>
    <row r="15" spans="1:16" ht="12">
      <c r="A15" s="35"/>
      <c r="B15" s="244"/>
      <c r="C15" s="241"/>
      <c r="D15" s="241"/>
      <c r="E15" s="241"/>
      <c r="F15" s="241" t="s">
        <v>171</v>
      </c>
      <c r="G15" s="241" t="s">
        <v>171</v>
      </c>
      <c r="H15" s="245">
        <f>SUBVENCION!E10+SUBVENCION!F10</f>
        <v>7593265</v>
      </c>
      <c r="I15" s="245"/>
      <c r="J15" s="246">
        <f>+J13+H15-I15</f>
        <v>10429908</v>
      </c>
      <c r="K15" s="44" t="s">
        <v>67</v>
      </c>
      <c r="L15" s="97" t="s">
        <v>5</v>
      </c>
      <c r="M15" s="97" t="s">
        <v>214</v>
      </c>
      <c r="N15" s="97" t="s">
        <v>212</v>
      </c>
      <c r="O15" s="97" t="s">
        <v>213</v>
      </c>
      <c r="P15" s="97" t="s">
        <v>7</v>
      </c>
    </row>
    <row r="16" spans="1:16" ht="12">
      <c r="A16" s="35"/>
      <c r="B16" s="244"/>
      <c r="C16" s="241"/>
      <c r="D16" s="241"/>
      <c r="E16" s="241"/>
      <c r="F16" s="241" t="s">
        <v>199</v>
      </c>
      <c r="G16" s="241" t="s">
        <v>199</v>
      </c>
      <c r="H16" s="245"/>
      <c r="I16" s="248">
        <v>4653014</v>
      </c>
      <c r="J16" s="246">
        <f>+J15+H16-I16</f>
        <v>5776894</v>
      </c>
      <c r="L16" s="37">
        <f>+H15</f>
        <v>7593265</v>
      </c>
      <c r="M16" s="51">
        <f>+L16*10%</f>
        <v>759326.5</v>
      </c>
      <c r="N16" s="51">
        <f>+I16</f>
        <v>4653014</v>
      </c>
      <c r="O16" s="51">
        <f>I17</f>
        <v>0</v>
      </c>
      <c r="P16" s="303">
        <f>+L16-M16-N16-O16</f>
        <v>2180924.5</v>
      </c>
    </row>
    <row r="17" spans="1:16" ht="12">
      <c r="A17" s="35"/>
      <c r="B17" s="244"/>
      <c r="C17" s="241"/>
      <c r="D17" s="241"/>
      <c r="E17" s="241"/>
      <c r="F17" s="241"/>
      <c r="G17" s="241"/>
      <c r="H17" s="245"/>
      <c r="I17" s="245"/>
      <c r="J17" s="246">
        <f>+J16+H17-I17</f>
        <v>5776894</v>
      </c>
      <c r="L17" s="155"/>
      <c r="M17" s="156"/>
      <c r="N17" s="156"/>
      <c r="O17" s="156"/>
      <c r="P17" s="157"/>
    </row>
    <row r="18" spans="1:16" ht="12">
      <c r="A18" s="35"/>
      <c r="B18" s="356" t="s">
        <v>68</v>
      </c>
      <c r="C18" s="357"/>
      <c r="D18" s="357"/>
      <c r="E18" s="357"/>
      <c r="F18" s="357"/>
      <c r="G18" s="357"/>
      <c r="H18" s="357"/>
      <c r="I18" s="357"/>
      <c r="J18" s="358"/>
    </row>
    <row r="19" spans="1:16" ht="12">
      <c r="A19" s="35"/>
      <c r="B19" s="244"/>
      <c r="C19" s="241"/>
      <c r="D19" s="241"/>
      <c r="E19" s="241"/>
      <c r="F19" s="241" t="s">
        <v>171</v>
      </c>
      <c r="G19" s="241" t="s">
        <v>171</v>
      </c>
      <c r="H19" s="245">
        <f>SUBVENCION!G10+SUBVENCION!H10</f>
        <v>7303374</v>
      </c>
      <c r="I19" s="245"/>
      <c r="J19" s="246">
        <f>+J17+H19-I19</f>
        <v>13080268</v>
      </c>
      <c r="K19" s="44" t="s">
        <v>68</v>
      </c>
      <c r="L19" s="97" t="s">
        <v>5</v>
      </c>
      <c r="M19" s="97" t="s">
        <v>214</v>
      </c>
      <c r="N19" s="97" t="s">
        <v>212</v>
      </c>
      <c r="O19" s="97" t="s">
        <v>213</v>
      </c>
      <c r="P19" s="97" t="s">
        <v>7</v>
      </c>
    </row>
    <row r="20" spans="1:16" ht="12">
      <c r="A20" s="35"/>
      <c r="B20" s="244"/>
      <c r="C20" s="241"/>
      <c r="D20" s="241"/>
      <c r="E20" s="241"/>
      <c r="F20" s="241" t="s">
        <v>199</v>
      </c>
      <c r="G20" s="241" t="s">
        <v>199</v>
      </c>
      <c r="H20" s="245"/>
      <c r="I20" s="248">
        <v>4690763</v>
      </c>
      <c r="J20" s="246">
        <f>+J19+H20-I20</f>
        <v>8389505</v>
      </c>
      <c r="L20" s="37">
        <f>+H19</f>
        <v>7303374</v>
      </c>
      <c r="M20" s="51">
        <f>+L20*10%</f>
        <v>730337.4</v>
      </c>
      <c r="N20" s="51">
        <f>+I20</f>
        <v>4690763</v>
      </c>
      <c r="O20" s="51">
        <f>I21+I22+I23+I24+I25+I26+I27</f>
        <v>1510108</v>
      </c>
      <c r="P20" s="303">
        <f>+L20-M20-N20-O20</f>
        <v>372165.59999999963</v>
      </c>
    </row>
    <row r="21" spans="1:16" ht="12">
      <c r="A21" s="35"/>
      <c r="B21" s="244">
        <v>46083</v>
      </c>
      <c r="C21" s="241">
        <v>3</v>
      </c>
      <c r="D21" s="241">
        <v>24</v>
      </c>
      <c r="E21" s="241">
        <v>265</v>
      </c>
      <c r="F21" s="241" t="s">
        <v>239</v>
      </c>
      <c r="G21" s="247" t="s">
        <v>240</v>
      </c>
      <c r="H21" s="245"/>
      <c r="I21" s="245">
        <v>159030</v>
      </c>
      <c r="J21" s="246">
        <f t="shared" ref="J21:J28" si="0">+J20+H21-I21</f>
        <v>8230475</v>
      </c>
    </row>
    <row r="22" spans="1:16" ht="12">
      <c r="A22" s="35"/>
      <c r="B22" s="244">
        <v>46083</v>
      </c>
      <c r="C22" s="241">
        <v>1</v>
      </c>
      <c r="D22" s="241">
        <v>23</v>
      </c>
      <c r="E22" s="241">
        <v>265</v>
      </c>
      <c r="F22" s="241" t="s">
        <v>273</v>
      </c>
      <c r="G22" s="247" t="s">
        <v>274</v>
      </c>
      <c r="H22" s="245"/>
      <c r="I22" s="245">
        <v>159030</v>
      </c>
      <c r="J22" s="246">
        <f t="shared" si="0"/>
        <v>8071445</v>
      </c>
    </row>
    <row r="23" spans="1:16" ht="12">
      <c r="A23" s="35"/>
      <c r="B23" s="244">
        <v>46084</v>
      </c>
      <c r="C23" s="241">
        <v>2</v>
      </c>
      <c r="D23" s="241">
        <v>33</v>
      </c>
      <c r="E23" s="241">
        <v>265</v>
      </c>
      <c r="F23" s="241" t="s">
        <v>273</v>
      </c>
      <c r="G23" s="247" t="s">
        <v>280</v>
      </c>
      <c r="H23" s="245"/>
      <c r="I23" s="245">
        <v>155850</v>
      </c>
      <c r="J23" s="246">
        <f t="shared" si="0"/>
        <v>7915595</v>
      </c>
    </row>
    <row r="24" spans="1:16" ht="12">
      <c r="A24" s="35"/>
      <c r="B24" s="244">
        <v>46087</v>
      </c>
      <c r="C24" s="241">
        <v>6</v>
      </c>
      <c r="D24" s="241">
        <v>54</v>
      </c>
      <c r="E24" s="241">
        <v>266</v>
      </c>
      <c r="F24" s="241" t="s">
        <v>273</v>
      </c>
      <c r="G24" s="247" t="s">
        <v>240</v>
      </c>
      <c r="H24" s="245"/>
      <c r="I24" s="245">
        <v>207010</v>
      </c>
      <c r="J24" s="246">
        <f t="shared" si="0"/>
        <v>7708585</v>
      </c>
    </row>
    <row r="25" spans="1:16" ht="12">
      <c r="A25" s="35"/>
      <c r="B25" s="244">
        <v>46090</v>
      </c>
      <c r="C25" s="241">
        <v>7</v>
      </c>
      <c r="D25" s="241">
        <v>62</v>
      </c>
      <c r="E25" s="241">
        <v>261</v>
      </c>
      <c r="F25" s="241" t="s">
        <v>299</v>
      </c>
      <c r="G25" s="247" t="s">
        <v>299</v>
      </c>
      <c r="H25" s="245"/>
      <c r="I25" s="245">
        <v>209000</v>
      </c>
      <c r="J25" s="246">
        <f t="shared" si="0"/>
        <v>7499585</v>
      </c>
    </row>
    <row r="26" spans="1:16" ht="12">
      <c r="A26" s="35"/>
      <c r="B26" s="249">
        <v>46085</v>
      </c>
      <c r="C26" s="250">
        <v>4</v>
      </c>
      <c r="D26" s="250" t="s">
        <v>312</v>
      </c>
      <c r="E26" s="250">
        <v>405</v>
      </c>
      <c r="F26" s="250" t="s">
        <v>278</v>
      </c>
      <c r="G26" s="251" t="s">
        <v>281</v>
      </c>
      <c r="H26" s="248"/>
      <c r="I26" s="248">
        <v>415548</v>
      </c>
      <c r="J26" s="246">
        <f t="shared" si="0"/>
        <v>7084037</v>
      </c>
      <c r="M26" s="44" t="s">
        <v>208</v>
      </c>
    </row>
    <row r="27" spans="1:16" ht="12">
      <c r="A27" s="35"/>
      <c r="B27" s="244">
        <v>46098</v>
      </c>
      <c r="C27" s="241">
        <v>9</v>
      </c>
      <c r="D27" s="241">
        <v>130</v>
      </c>
      <c r="E27" s="241">
        <v>389</v>
      </c>
      <c r="F27" s="241" t="s">
        <v>273</v>
      </c>
      <c r="G27" s="247" t="s">
        <v>240</v>
      </c>
      <c r="H27" s="245"/>
      <c r="I27" s="245">
        <v>204640</v>
      </c>
      <c r="J27" s="246">
        <f t="shared" si="0"/>
        <v>6879397</v>
      </c>
    </row>
    <row r="28" spans="1:16" ht="12">
      <c r="A28" s="35"/>
      <c r="B28" s="244"/>
      <c r="C28" s="241"/>
      <c r="D28" s="241"/>
      <c r="E28" s="241"/>
      <c r="F28" s="241"/>
      <c r="G28" s="247"/>
      <c r="H28" s="245"/>
      <c r="I28" s="245"/>
      <c r="J28" s="246">
        <f t="shared" si="0"/>
        <v>6879397</v>
      </c>
    </row>
    <row r="29" spans="1:16" ht="12">
      <c r="B29" s="356" t="s">
        <v>69</v>
      </c>
      <c r="C29" s="357"/>
      <c r="D29" s="357"/>
      <c r="E29" s="357"/>
      <c r="F29" s="357"/>
      <c r="G29" s="357"/>
      <c r="H29" s="357"/>
      <c r="I29" s="357"/>
      <c r="J29" s="358"/>
    </row>
    <row r="30" spans="1:16" ht="12">
      <c r="B30" s="244"/>
      <c r="C30" s="241"/>
      <c r="D30" s="241"/>
      <c r="E30" s="241"/>
      <c r="F30" s="241" t="s">
        <v>171</v>
      </c>
      <c r="G30" s="241" t="s">
        <v>171</v>
      </c>
      <c r="H30" s="245">
        <f>SUBVENCION!I10+SUBVENCION!J10</f>
        <v>7031783</v>
      </c>
      <c r="I30" s="245"/>
      <c r="J30" s="246">
        <f>+J28+H30-I30</f>
        <v>13911180</v>
      </c>
      <c r="K30" s="44" t="s">
        <v>69</v>
      </c>
      <c r="L30" s="97" t="s">
        <v>5</v>
      </c>
      <c r="M30" s="97" t="s">
        <v>214</v>
      </c>
      <c r="N30" s="97" t="s">
        <v>212</v>
      </c>
      <c r="O30" s="97" t="s">
        <v>213</v>
      </c>
      <c r="P30" s="97" t="s">
        <v>7</v>
      </c>
    </row>
    <row r="31" spans="1:16" ht="12">
      <c r="B31" s="244"/>
      <c r="C31" s="241"/>
      <c r="D31" s="241"/>
      <c r="E31" s="241"/>
      <c r="F31" s="241" t="s">
        <v>199</v>
      </c>
      <c r="G31" s="241" t="s">
        <v>199</v>
      </c>
      <c r="H31" s="245"/>
      <c r="I31" s="248">
        <v>4902671</v>
      </c>
      <c r="J31" s="246">
        <f>+J30+H31-I31</f>
        <v>9008509</v>
      </c>
      <c r="L31" s="37">
        <f>+H30</f>
        <v>7031783</v>
      </c>
      <c r="M31" s="51">
        <f>+L31*10%</f>
        <v>703178.3</v>
      </c>
      <c r="N31" s="51">
        <f>+I31</f>
        <v>4902671</v>
      </c>
      <c r="O31" s="51">
        <f>I32+I33+I34+I35+I36</f>
        <v>1873912</v>
      </c>
      <c r="P31" s="303">
        <f>+L31-M31-N31-O31</f>
        <v>-447978.29999999981</v>
      </c>
    </row>
    <row r="32" spans="1:16" ht="12">
      <c r="B32" s="244">
        <v>46114</v>
      </c>
      <c r="C32" s="241">
        <v>15</v>
      </c>
      <c r="D32" s="241">
        <v>214</v>
      </c>
      <c r="E32" s="241">
        <v>575</v>
      </c>
      <c r="F32" s="241" t="s">
        <v>379</v>
      </c>
      <c r="G32" s="247" t="s">
        <v>360</v>
      </c>
      <c r="H32" s="245"/>
      <c r="I32" s="245">
        <v>204590</v>
      </c>
      <c r="J32" s="246">
        <f t="shared" ref="J32:J36" si="1">+J31+H32-I32</f>
        <v>8803919</v>
      </c>
    </row>
    <row r="33" spans="2:16" ht="12">
      <c r="B33" s="244">
        <v>46121</v>
      </c>
      <c r="C33" s="241">
        <v>16</v>
      </c>
      <c r="D33" s="241" t="s">
        <v>411</v>
      </c>
      <c r="E33" s="241">
        <v>770</v>
      </c>
      <c r="F33" s="241" t="s">
        <v>379</v>
      </c>
      <c r="G33" s="247" t="s">
        <v>240</v>
      </c>
      <c r="H33" s="245"/>
      <c r="I33" s="245">
        <v>682843</v>
      </c>
      <c r="J33" s="246">
        <f t="shared" si="1"/>
        <v>8121076</v>
      </c>
    </row>
    <row r="34" spans="2:16" ht="12">
      <c r="B34" s="244">
        <v>46133</v>
      </c>
      <c r="C34" s="241">
        <v>17</v>
      </c>
      <c r="D34" s="241" t="s">
        <v>455</v>
      </c>
      <c r="E34" s="241">
        <v>773</v>
      </c>
      <c r="F34" s="250" t="s">
        <v>278</v>
      </c>
      <c r="G34" s="251" t="s">
        <v>281</v>
      </c>
      <c r="H34" s="245"/>
      <c r="I34" s="245">
        <v>380800</v>
      </c>
      <c r="J34" s="246">
        <f t="shared" si="1"/>
        <v>7740276</v>
      </c>
    </row>
    <row r="35" spans="2:16" ht="12">
      <c r="B35" s="244">
        <v>46139</v>
      </c>
      <c r="C35" s="241">
        <v>18</v>
      </c>
      <c r="D35" s="241" t="s">
        <v>583</v>
      </c>
      <c r="E35" s="241">
        <v>1069</v>
      </c>
      <c r="F35" s="250" t="s">
        <v>278</v>
      </c>
      <c r="G35" s="247" t="s">
        <v>421</v>
      </c>
      <c r="H35" s="245"/>
      <c r="I35" s="245">
        <v>605679</v>
      </c>
      <c r="J35" s="246">
        <f t="shared" si="1"/>
        <v>7134597</v>
      </c>
    </row>
    <row r="36" spans="2:16" ht="12">
      <c r="B36" s="244"/>
      <c r="C36" s="241"/>
      <c r="D36" s="241"/>
      <c r="E36" s="241"/>
      <c r="F36" s="241"/>
      <c r="G36" s="247"/>
      <c r="H36" s="245"/>
      <c r="I36" s="245"/>
      <c r="J36" s="246">
        <f t="shared" si="1"/>
        <v>7134597</v>
      </c>
    </row>
    <row r="37" spans="2:16" ht="12">
      <c r="B37" s="350" t="s">
        <v>120</v>
      </c>
      <c r="C37" s="351"/>
      <c r="D37" s="351"/>
      <c r="E37" s="351"/>
      <c r="F37" s="351"/>
      <c r="G37" s="351"/>
      <c r="H37" s="351"/>
      <c r="I37" s="351"/>
      <c r="J37" s="352"/>
    </row>
    <row r="38" spans="2:16" ht="12">
      <c r="B38" s="244"/>
      <c r="C38" s="241"/>
      <c r="D38" s="241"/>
      <c r="E38" s="241"/>
      <c r="F38" s="241" t="s">
        <v>171</v>
      </c>
      <c r="G38" s="241" t="s">
        <v>171</v>
      </c>
      <c r="H38" s="248">
        <f>SUBVENCION!K10+SUBVENCION!L10</f>
        <v>7033366</v>
      </c>
      <c r="I38" s="245"/>
      <c r="J38" s="246">
        <f>+J36+H38-I38</f>
        <v>14167963</v>
      </c>
      <c r="K38" s="44" t="s">
        <v>120</v>
      </c>
      <c r="L38" s="97" t="s">
        <v>5</v>
      </c>
      <c r="M38" s="97" t="s">
        <v>214</v>
      </c>
      <c r="N38" s="97" t="s">
        <v>212</v>
      </c>
      <c r="O38" s="97" t="s">
        <v>213</v>
      </c>
      <c r="P38" s="97" t="s">
        <v>7</v>
      </c>
    </row>
    <row r="39" spans="2:16" ht="12">
      <c r="B39" s="244"/>
      <c r="C39" s="241"/>
      <c r="D39" s="241"/>
      <c r="E39" s="241"/>
      <c r="F39" s="241" t="s">
        <v>199</v>
      </c>
      <c r="G39" s="241" t="s">
        <v>199</v>
      </c>
      <c r="H39" s="245"/>
      <c r="I39" s="248">
        <v>4899288</v>
      </c>
      <c r="J39" s="246">
        <f>+J38+H39-I39</f>
        <v>9268675</v>
      </c>
      <c r="L39" s="37">
        <f>+H38</f>
        <v>7033366</v>
      </c>
      <c r="M39" s="51">
        <f>+L39*10%</f>
        <v>703336.60000000009</v>
      </c>
      <c r="N39" s="51">
        <f>+I39</f>
        <v>4899288</v>
      </c>
      <c r="O39" s="51">
        <f>I40+I41+I42</f>
        <v>496830</v>
      </c>
      <c r="P39" s="303">
        <f>+L39-M39-N39-O39</f>
        <v>933911.40000000037</v>
      </c>
    </row>
    <row r="40" spans="2:16" ht="12">
      <c r="B40" s="244">
        <v>46149</v>
      </c>
      <c r="C40" s="241">
        <v>20</v>
      </c>
      <c r="D40" s="241">
        <v>400</v>
      </c>
      <c r="E40" s="250">
        <v>756</v>
      </c>
      <c r="F40" s="241" t="s">
        <v>219</v>
      </c>
      <c r="G40" s="241" t="s">
        <v>222</v>
      </c>
      <c r="H40" s="245"/>
      <c r="I40" s="245">
        <v>80000</v>
      </c>
      <c r="J40" s="246">
        <f t="shared" ref="J40:J42" si="2">+J39+H40-I40</f>
        <v>9188675</v>
      </c>
      <c r="L40" s="155"/>
      <c r="M40" s="156"/>
      <c r="N40" s="156"/>
      <c r="O40" s="156"/>
      <c r="P40" s="157"/>
    </row>
    <row r="41" spans="2:16" ht="12">
      <c r="B41" s="244">
        <v>46153</v>
      </c>
      <c r="C41" s="241">
        <v>21</v>
      </c>
      <c r="D41" s="241">
        <v>433</v>
      </c>
      <c r="E41" s="241">
        <v>808</v>
      </c>
      <c r="F41" s="241" t="s">
        <v>242</v>
      </c>
      <c r="G41" s="241" t="s">
        <v>242</v>
      </c>
      <c r="H41" s="245"/>
      <c r="I41" s="245">
        <v>210000</v>
      </c>
      <c r="J41" s="246">
        <f t="shared" si="2"/>
        <v>8978675</v>
      </c>
      <c r="L41" s="155"/>
      <c r="M41" s="156"/>
      <c r="N41" s="156"/>
      <c r="O41" s="156"/>
      <c r="P41" s="157"/>
    </row>
    <row r="42" spans="2:16" ht="12">
      <c r="B42" s="244">
        <v>46153</v>
      </c>
      <c r="C42" s="241">
        <v>22</v>
      </c>
      <c r="D42" s="266">
        <v>434</v>
      </c>
      <c r="E42" s="241">
        <v>751</v>
      </c>
      <c r="F42" s="241" t="s">
        <v>273</v>
      </c>
      <c r="G42" s="247" t="s">
        <v>240</v>
      </c>
      <c r="H42" s="252"/>
      <c r="I42" s="267">
        <v>206830</v>
      </c>
      <c r="J42" s="246">
        <f t="shared" si="2"/>
        <v>8771845</v>
      </c>
      <c r="L42" s="155"/>
      <c r="M42" s="156"/>
      <c r="N42" s="156"/>
      <c r="O42" s="156"/>
      <c r="P42" s="157"/>
    </row>
    <row r="43" spans="2:16" ht="12">
      <c r="B43" s="350" t="s">
        <v>129</v>
      </c>
      <c r="C43" s="351"/>
      <c r="D43" s="351"/>
      <c r="E43" s="351"/>
      <c r="F43" s="351"/>
      <c r="G43" s="351"/>
      <c r="H43" s="351"/>
      <c r="I43" s="351"/>
      <c r="J43" s="352"/>
    </row>
    <row r="44" spans="2:16" ht="12">
      <c r="B44" s="244"/>
      <c r="C44" s="241"/>
      <c r="D44" s="241"/>
      <c r="E44" s="241"/>
      <c r="F44" s="241" t="s">
        <v>171</v>
      </c>
      <c r="G44" s="241" t="s">
        <v>171</v>
      </c>
      <c r="H44" s="248">
        <f>SUBVENCION!M10+SUBVENCION!N10</f>
        <v>6201474</v>
      </c>
      <c r="I44" s="245"/>
      <c r="J44" s="246">
        <f>+J42+H44-I44</f>
        <v>14973319</v>
      </c>
      <c r="K44" s="44" t="s">
        <v>129</v>
      </c>
      <c r="L44" s="97" t="s">
        <v>5</v>
      </c>
      <c r="M44" s="97" t="s">
        <v>214</v>
      </c>
      <c r="N44" s="97" t="s">
        <v>212</v>
      </c>
      <c r="O44" s="97" t="s">
        <v>213</v>
      </c>
      <c r="P44" s="97" t="s">
        <v>7</v>
      </c>
    </row>
    <row r="45" spans="2:16" ht="12">
      <c r="B45" s="244"/>
      <c r="C45" s="241"/>
      <c r="D45" s="241"/>
      <c r="E45" s="241"/>
      <c r="F45" s="241" t="s">
        <v>199</v>
      </c>
      <c r="G45" s="241" t="s">
        <v>199</v>
      </c>
      <c r="H45" s="245"/>
      <c r="I45" s="245">
        <v>6112468</v>
      </c>
      <c r="J45" s="246">
        <f>+J44+H45-I45</f>
        <v>8860851</v>
      </c>
      <c r="L45" s="37">
        <f>+H44</f>
        <v>6201474</v>
      </c>
      <c r="M45" s="51">
        <f>+L45*10%</f>
        <v>620147.4</v>
      </c>
      <c r="N45" s="51">
        <f>+I45</f>
        <v>6112468</v>
      </c>
      <c r="O45" s="51">
        <f>I46+I47+I48+I49+I50</f>
        <v>2270920</v>
      </c>
      <c r="P45" s="187">
        <f>+L45-M45-N45-O45</f>
        <v>-2802061.4000000004</v>
      </c>
    </row>
    <row r="46" spans="2:16" ht="12">
      <c r="B46" s="249">
        <v>46162</v>
      </c>
      <c r="C46" s="250">
        <v>23</v>
      </c>
      <c r="D46" s="250" t="s">
        <v>514</v>
      </c>
      <c r="E46" s="250">
        <v>1072</v>
      </c>
      <c r="F46" s="250" t="s">
        <v>278</v>
      </c>
      <c r="G46" s="250" t="s">
        <v>278</v>
      </c>
      <c r="H46" s="248"/>
      <c r="I46" s="248">
        <v>1535100</v>
      </c>
      <c r="J46" s="246">
        <f t="shared" ref="J46:J50" si="3">+J45+H46-I46</f>
        <v>7325751</v>
      </c>
      <c r="L46" s="155"/>
      <c r="M46" s="156"/>
      <c r="N46" s="156"/>
      <c r="O46" s="156"/>
      <c r="P46" s="157"/>
    </row>
    <row r="47" spans="2:16" ht="12">
      <c r="B47" s="244">
        <v>46171</v>
      </c>
      <c r="C47" s="241">
        <v>24</v>
      </c>
      <c r="D47" s="241">
        <v>512</v>
      </c>
      <c r="E47" s="241"/>
      <c r="F47" s="241" t="s">
        <v>273</v>
      </c>
      <c r="G47" s="247" t="s">
        <v>240</v>
      </c>
      <c r="H47" s="245"/>
      <c r="I47" s="245">
        <v>205820</v>
      </c>
      <c r="J47" s="246">
        <f t="shared" si="3"/>
        <v>7119931</v>
      </c>
      <c r="L47" s="155"/>
      <c r="M47" s="156"/>
      <c r="N47" s="156"/>
      <c r="O47" s="156"/>
      <c r="P47" s="157"/>
    </row>
    <row r="48" spans="2:16" ht="12">
      <c r="B48" s="244">
        <v>46174</v>
      </c>
      <c r="C48" s="241">
        <v>25</v>
      </c>
      <c r="D48" s="241">
        <v>513</v>
      </c>
      <c r="E48" s="241">
        <v>975</v>
      </c>
      <c r="F48" s="241" t="s">
        <v>470</v>
      </c>
      <c r="G48" s="241" t="s">
        <v>219</v>
      </c>
      <c r="H48" s="245"/>
      <c r="I48" s="245">
        <v>200000</v>
      </c>
      <c r="J48" s="246">
        <f t="shared" si="3"/>
        <v>6919931</v>
      </c>
      <c r="L48" s="155"/>
      <c r="M48" s="156"/>
      <c r="N48" s="156"/>
      <c r="O48" s="156"/>
      <c r="P48" s="157"/>
    </row>
    <row r="49" spans="2:16" ht="12">
      <c r="B49" s="244">
        <v>46178</v>
      </c>
      <c r="C49" s="241">
        <v>26</v>
      </c>
      <c r="D49" s="241">
        <v>548</v>
      </c>
      <c r="E49" s="241">
        <v>808</v>
      </c>
      <c r="F49" s="241" t="s">
        <v>242</v>
      </c>
      <c r="G49" s="241" t="s">
        <v>242</v>
      </c>
      <c r="H49" s="245"/>
      <c r="I49" s="245">
        <v>210000</v>
      </c>
      <c r="J49" s="246">
        <f t="shared" si="3"/>
        <v>6709931</v>
      </c>
      <c r="L49" s="155"/>
      <c r="M49" s="156"/>
      <c r="N49" s="156"/>
      <c r="O49" s="156"/>
      <c r="P49" s="157"/>
    </row>
    <row r="50" spans="2:16" ht="12">
      <c r="B50" s="244">
        <v>46184</v>
      </c>
      <c r="C50" s="241">
        <v>28</v>
      </c>
      <c r="D50" s="241">
        <v>578</v>
      </c>
      <c r="E50" s="241"/>
      <c r="F50" s="241" t="s">
        <v>219</v>
      </c>
      <c r="G50" s="241" t="s">
        <v>470</v>
      </c>
      <c r="H50" s="245"/>
      <c r="I50" s="245">
        <v>120000</v>
      </c>
      <c r="J50" s="246">
        <f t="shared" si="3"/>
        <v>6589931</v>
      </c>
      <c r="L50" s="155"/>
      <c r="M50" s="156"/>
      <c r="N50" s="156"/>
      <c r="O50" s="156"/>
      <c r="P50" s="157"/>
    </row>
    <row r="51" spans="2:16" ht="12">
      <c r="B51" s="350" t="s">
        <v>65</v>
      </c>
      <c r="C51" s="351"/>
      <c r="D51" s="351"/>
      <c r="E51" s="351"/>
      <c r="F51" s="351"/>
      <c r="G51" s="351"/>
      <c r="H51" s="351"/>
      <c r="I51" s="351"/>
      <c r="J51" s="352"/>
    </row>
    <row r="52" spans="2:16" ht="12">
      <c r="B52" s="244"/>
      <c r="C52" s="241"/>
      <c r="D52" s="241"/>
      <c r="E52" s="241"/>
      <c r="F52" s="241" t="s">
        <v>171</v>
      </c>
      <c r="G52" s="241" t="s">
        <v>171</v>
      </c>
      <c r="H52" s="245">
        <f>+SUBVENCION!O10+SUBVENCION!P10</f>
        <v>6822242</v>
      </c>
      <c r="I52" s="245"/>
      <c r="J52" s="246">
        <f>+J50+H52-I52</f>
        <v>13412173</v>
      </c>
      <c r="K52" s="44" t="s">
        <v>65</v>
      </c>
      <c r="L52" s="97" t="s">
        <v>5</v>
      </c>
      <c r="M52" s="97" t="s">
        <v>214</v>
      </c>
      <c r="N52" s="97" t="s">
        <v>212</v>
      </c>
      <c r="O52" s="97" t="s">
        <v>213</v>
      </c>
      <c r="P52" s="97" t="s">
        <v>7</v>
      </c>
    </row>
    <row r="53" spans="2:16" ht="12">
      <c r="B53" s="244"/>
      <c r="C53" s="241"/>
      <c r="D53" s="241"/>
      <c r="E53" s="241"/>
      <c r="F53" s="241" t="s">
        <v>199</v>
      </c>
      <c r="G53" s="241" t="s">
        <v>199</v>
      </c>
      <c r="H53" s="245"/>
      <c r="I53" s="245">
        <v>5922000</v>
      </c>
      <c r="J53" s="246">
        <f>+J52+H53-I53</f>
        <v>7490173</v>
      </c>
      <c r="L53" s="37">
        <f>+H52</f>
        <v>6822242</v>
      </c>
      <c r="M53" s="51">
        <f>+L53*10%</f>
        <v>682224.20000000007</v>
      </c>
      <c r="N53" s="51">
        <f>+I53</f>
        <v>5922000</v>
      </c>
      <c r="O53" s="51">
        <f>I54+I55+I56</f>
        <v>181499</v>
      </c>
      <c r="P53" s="303">
        <f>+L53-M53-N53-O53</f>
        <v>36518.799999999814</v>
      </c>
    </row>
    <row r="54" spans="2:16" ht="12">
      <c r="B54" s="244" t="s">
        <v>612</v>
      </c>
      <c r="C54" s="241">
        <v>33</v>
      </c>
      <c r="D54" s="241">
        <v>760</v>
      </c>
      <c r="E54" s="241">
        <v>1292</v>
      </c>
      <c r="F54" s="241" t="s">
        <v>278</v>
      </c>
      <c r="G54" s="241" t="s">
        <v>281</v>
      </c>
      <c r="H54" s="245"/>
      <c r="I54" s="245">
        <v>181499</v>
      </c>
      <c r="J54" s="246">
        <f t="shared" ref="J54:J56" si="4">+J53+H54-I54</f>
        <v>7308674</v>
      </c>
      <c r="L54" s="155"/>
      <c r="M54" s="156"/>
      <c r="N54" s="156"/>
      <c r="O54" s="156"/>
      <c r="P54" s="157"/>
    </row>
    <row r="55" spans="2:16" ht="12">
      <c r="B55" s="244"/>
      <c r="C55" s="241"/>
      <c r="D55" s="241"/>
      <c r="E55" s="241"/>
      <c r="F55" s="241"/>
      <c r="G55" s="241"/>
      <c r="H55" s="245"/>
      <c r="I55" s="245"/>
      <c r="J55" s="246">
        <f t="shared" si="4"/>
        <v>7308674</v>
      </c>
      <c r="L55" s="155"/>
      <c r="M55" s="156"/>
      <c r="N55" s="156"/>
      <c r="O55" s="156"/>
      <c r="P55" s="157"/>
    </row>
    <row r="56" spans="2:16" ht="12">
      <c r="B56" s="244"/>
      <c r="C56" s="241"/>
      <c r="D56" s="241"/>
      <c r="E56" s="241"/>
      <c r="F56" s="241"/>
      <c r="G56" s="241"/>
      <c r="H56" s="245"/>
      <c r="I56" s="245"/>
      <c r="J56" s="246">
        <f t="shared" si="4"/>
        <v>7308674</v>
      </c>
    </row>
    <row r="57" spans="2:16" ht="12">
      <c r="B57" s="347" t="s">
        <v>130</v>
      </c>
      <c r="C57" s="348"/>
      <c r="D57" s="348"/>
      <c r="E57" s="348"/>
      <c r="F57" s="348"/>
      <c r="G57" s="348"/>
      <c r="H57" s="348"/>
      <c r="I57" s="348"/>
      <c r="J57" s="349"/>
    </row>
    <row r="58" spans="2:16" ht="12">
      <c r="B58" s="244"/>
      <c r="C58" s="241"/>
      <c r="D58" s="241"/>
      <c r="E58" s="241"/>
      <c r="F58" s="241" t="s">
        <v>171</v>
      </c>
      <c r="G58" s="241" t="s">
        <v>171</v>
      </c>
      <c r="H58" s="245">
        <f>+SUBVENCION!Q10+SUBVENCION!R10</f>
        <v>6038214</v>
      </c>
      <c r="I58" s="245"/>
      <c r="J58" s="253">
        <f>+J56+H58-I58</f>
        <v>13346888</v>
      </c>
      <c r="K58" s="44" t="s">
        <v>130</v>
      </c>
      <c r="L58" s="97" t="s">
        <v>5</v>
      </c>
      <c r="M58" s="97" t="s">
        <v>214</v>
      </c>
      <c r="N58" s="97" t="s">
        <v>212</v>
      </c>
      <c r="O58" s="97" t="s">
        <v>213</v>
      </c>
      <c r="P58" s="97" t="s">
        <v>7</v>
      </c>
    </row>
    <row r="59" spans="2:16" ht="12">
      <c r="B59" s="244"/>
      <c r="C59" s="241"/>
      <c r="D59" s="241"/>
      <c r="E59" s="241"/>
      <c r="F59" s="241" t="s">
        <v>199</v>
      </c>
      <c r="G59" s="241" t="s">
        <v>199</v>
      </c>
      <c r="H59" s="245"/>
      <c r="I59" s="245">
        <v>4739178</v>
      </c>
      <c r="J59" s="253">
        <f>+J58+H59-I59</f>
        <v>8607710</v>
      </c>
      <c r="L59" s="37">
        <f>+H58</f>
        <v>6038214</v>
      </c>
      <c r="M59" s="51">
        <f>+L59*10%</f>
        <v>603821.4</v>
      </c>
      <c r="N59" s="51">
        <f>+I59</f>
        <v>4739178</v>
      </c>
      <c r="O59" s="51">
        <f>+I61+I62+I63+I60+I65+I64</f>
        <v>1104711</v>
      </c>
      <c r="P59" s="303">
        <f>+L59-M59-N59-O59</f>
        <v>-409496.40000000037</v>
      </c>
    </row>
    <row r="60" spans="2:16" ht="12">
      <c r="B60" s="244">
        <v>46247</v>
      </c>
      <c r="C60" s="241">
        <v>40</v>
      </c>
      <c r="D60" s="241">
        <v>797</v>
      </c>
      <c r="E60" s="241">
        <v>1339</v>
      </c>
      <c r="F60" s="241" t="s">
        <v>278</v>
      </c>
      <c r="G60" s="241" t="s">
        <v>281</v>
      </c>
      <c r="H60" s="245"/>
      <c r="I60" s="245">
        <v>202300</v>
      </c>
      <c r="J60" s="253">
        <f t="shared" ref="J60:J62" si="5">+J59+H60-I60</f>
        <v>8405410</v>
      </c>
      <c r="L60" s="155"/>
      <c r="M60" s="156"/>
      <c r="N60" s="156"/>
      <c r="O60" s="156"/>
      <c r="P60" s="157"/>
    </row>
    <row r="61" spans="2:16" ht="12">
      <c r="B61" s="244">
        <v>46247</v>
      </c>
      <c r="C61" s="241">
        <v>41</v>
      </c>
      <c r="D61" s="241">
        <v>799</v>
      </c>
      <c r="E61" s="241">
        <v>1296</v>
      </c>
      <c r="F61" s="241" t="s">
        <v>242</v>
      </c>
      <c r="G61" s="241" t="s">
        <v>242</v>
      </c>
      <c r="H61" s="245"/>
      <c r="I61" s="245">
        <v>214800</v>
      </c>
      <c r="J61" s="253">
        <f t="shared" si="5"/>
        <v>8190610</v>
      </c>
    </row>
    <row r="62" spans="2:16" ht="12">
      <c r="B62" s="244">
        <v>46251</v>
      </c>
      <c r="C62" s="241">
        <v>39</v>
      </c>
      <c r="D62" s="241" t="s">
        <v>726</v>
      </c>
      <c r="E62" s="241"/>
      <c r="F62" s="241" t="s">
        <v>278</v>
      </c>
      <c r="G62" s="241" t="s">
        <v>281</v>
      </c>
      <c r="H62" s="245"/>
      <c r="I62" s="245">
        <v>270011</v>
      </c>
      <c r="J62" s="253">
        <f t="shared" si="5"/>
        <v>7920599</v>
      </c>
    </row>
    <row r="63" spans="2:16" ht="12">
      <c r="B63" s="244">
        <v>46253</v>
      </c>
      <c r="C63" s="241">
        <v>38</v>
      </c>
      <c r="D63" s="241">
        <v>835</v>
      </c>
      <c r="E63" s="241">
        <v>1387</v>
      </c>
      <c r="F63" s="241" t="s">
        <v>273</v>
      </c>
      <c r="G63" s="247" t="s">
        <v>516</v>
      </c>
      <c r="H63" s="245"/>
      <c r="I63" s="245">
        <v>207600</v>
      </c>
      <c r="J63" s="253">
        <f t="shared" ref="J63:J64" si="6">+J62+H63-I63</f>
        <v>7712999</v>
      </c>
    </row>
    <row r="64" spans="2:16" ht="12">
      <c r="B64" s="244">
        <v>46262</v>
      </c>
      <c r="C64" s="241">
        <v>42</v>
      </c>
      <c r="D64" s="241">
        <v>900</v>
      </c>
      <c r="E64" s="241"/>
      <c r="F64" s="241" t="s">
        <v>219</v>
      </c>
      <c r="G64" s="247" t="s">
        <v>219</v>
      </c>
      <c r="H64" s="245"/>
      <c r="I64" s="245">
        <v>210000</v>
      </c>
      <c r="J64" s="253">
        <f t="shared" si="6"/>
        <v>7502999</v>
      </c>
    </row>
    <row r="65" spans="1:16" ht="12">
      <c r="B65" s="244"/>
      <c r="C65" s="241"/>
      <c r="D65" s="254"/>
      <c r="E65" s="241"/>
      <c r="F65" s="241"/>
      <c r="G65" s="247"/>
      <c r="H65" s="245"/>
      <c r="I65" s="255"/>
      <c r="J65" s="253">
        <f>+J64+H65-I65</f>
        <v>7502999</v>
      </c>
    </row>
    <row r="66" spans="1:16" ht="12">
      <c r="B66" s="347" t="s">
        <v>131</v>
      </c>
      <c r="C66" s="348"/>
      <c r="D66" s="348"/>
      <c r="E66" s="348"/>
      <c r="F66" s="348"/>
      <c r="G66" s="348"/>
      <c r="H66" s="348"/>
      <c r="I66" s="348"/>
      <c r="J66" s="349"/>
    </row>
    <row r="67" spans="1:16" ht="12">
      <c r="B67" s="244"/>
      <c r="C67" s="241"/>
      <c r="D67" s="241"/>
      <c r="E67" s="241"/>
      <c r="F67" s="241" t="s">
        <v>171</v>
      </c>
      <c r="G67" s="241" t="s">
        <v>171</v>
      </c>
      <c r="H67" s="245">
        <f>+SUBVENCION!S10+SUBVENCION!T10</f>
        <v>6799097</v>
      </c>
      <c r="I67" s="245"/>
      <c r="J67" s="253">
        <f>+J65+H67-I67</f>
        <v>14302096</v>
      </c>
      <c r="K67" s="44" t="s">
        <v>131</v>
      </c>
      <c r="L67" s="97" t="s">
        <v>5</v>
      </c>
      <c r="M67" s="97" t="s">
        <v>214</v>
      </c>
      <c r="N67" s="97" t="s">
        <v>212</v>
      </c>
      <c r="O67" s="97" t="s">
        <v>213</v>
      </c>
      <c r="P67" s="97" t="s">
        <v>7</v>
      </c>
    </row>
    <row r="68" spans="1:16" ht="12">
      <c r="B68" s="244"/>
      <c r="C68" s="241"/>
      <c r="D68" s="241"/>
      <c r="E68" s="241"/>
      <c r="F68" s="241" t="s">
        <v>199</v>
      </c>
      <c r="G68" s="241" t="s">
        <v>199</v>
      </c>
      <c r="H68" s="245"/>
      <c r="I68" s="245">
        <v>4739675</v>
      </c>
      <c r="J68" s="253">
        <f>+J67+H68-I68</f>
        <v>9562421</v>
      </c>
      <c r="L68" s="37">
        <f>+H67</f>
        <v>6799097</v>
      </c>
      <c r="M68" s="51">
        <f>+L68*10%</f>
        <v>679909.70000000007</v>
      </c>
      <c r="N68" s="51">
        <f>+I68</f>
        <v>4739675</v>
      </c>
      <c r="O68" s="51">
        <f>SUM(I69:I73)</f>
        <v>742420</v>
      </c>
      <c r="P68" s="303">
        <f>+L68-M68-N68-O68</f>
        <v>637092.29999999981</v>
      </c>
    </row>
    <row r="69" spans="1:16" ht="12">
      <c r="B69" s="244">
        <v>46267</v>
      </c>
      <c r="C69" s="241">
        <v>43</v>
      </c>
      <c r="D69" s="241">
        <v>922</v>
      </c>
      <c r="E69" s="241"/>
      <c r="F69" s="241" t="s">
        <v>273</v>
      </c>
      <c r="G69" s="247" t="s">
        <v>717</v>
      </c>
      <c r="H69" s="245"/>
      <c r="I69" s="245">
        <v>214020</v>
      </c>
      <c r="J69" s="253">
        <f t="shared" ref="J69:J73" si="7">+J68+H69-I69</f>
        <v>9348401</v>
      </c>
    </row>
    <row r="70" spans="1:16" ht="12">
      <c r="B70" s="244">
        <v>46267</v>
      </c>
      <c r="C70" s="241">
        <v>44</v>
      </c>
      <c r="D70" s="241">
        <v>923</v>
      </c>
      <c r="E70" s="302"/>
      <c r="F70" s="241" t="s">
        <v>242</v>
      </c>
      <c r="G70" s="241" t="s">
        <v>703</v>
      </c>
      <c r="H70" s="245"/>
      <c r="I70" s="245">
        <v>213400</v>
      </c>
      <c r="J70" s="253">
        <f t="shared" si="7"/>
        <v>9135001</v>
      </c>
    </row>
    <row r="71" spans="1:16" ht="12">
      <c r="B71" s="244">
        <v>46279</v>
      </c>
      <c r="C71" s="241">
        <v>45</v>
      </c>
      <c r="D71" s="241">
        <v>983</v>
      </c>
      <c r="E71" s="127"/>
      <c r="F71" s="241" t="s">
        <v>219</v>
      </c>
      <c r="G71" s="241" t="s">
        <v>219</v>
      </c>
      <c r="H71" s="245"/>
      <c r="I71" s="245">
        <v>100000</v>
      </c>
      <c r="J71" s="253">
        <f t="shared" si="7"/>
        <v>9035001</v>
      </c>
    </row>
    <row r="72" spans="1:16" ht="12">
      <c r="B72" s="244">
        <v>46281</v>
      </c>
      <c r="C72" s="241">
        <v>46</v>
      </c>
      <c r="D72" s="241">
        <v>986</v>
      </c>
      <c r="E72" s="127" t="s">
        <v>701</v>
      </c>
      <c r="F72" s="241" t="s">
        <v>242</v>
      </c>
      <c r="G72" s="241" t="s">
        <v>752</v>
      </c>
      <c r="H72" s="245"/>
      <c r="I72" s="245">
        <v>215000</v>
      </c>
      <c r="J72" s="253">
        <f t="shared" si="7"/>
        <v>8820001</v>
      </c>
    </row>
    <row r="73" spans="1:16" ht="12">
      <c r="B73" s="244"/>
      <c r="C73" s="241"/>
      <c r="D73" s="241"/>
      <c r="E73" s="241"/>
      <c r="F73" s="241"/>
      <c r="G73" s="241"/>
      <c r="H73" s="245"/>
      <c r="I73" s="245"/>
      <c r="J73" s="253">
        <f t="shared" si="7"/>
        <v>8820001</v>
      </c>
    </row>
    <row r="74" spans="1:16" ht="12">
      <c r="B74" s="347" t="s">
        <v>132</v>
      </c>
      <c r="C74" s="348"/>
      <c r="D74" s="348"/>
      <c r="E74" s="348"/>
      <c r="F74" s="348"/>
      <c r="G74" s="348"/>
      <c r="H74" s="348"/>
      <c r="I74" s="348"/>
      <c r="J74" s="349"/>
    </row>
    <row r="75" spans="1:16" ht="12">
      <c r="B75" s="244"/>
      <c r="C75" s="241"/>
      <c r="D75" s="241"/>
      <c r="E75" s="241"/>
      <c r="F75" s="241" t="s">
        <v>171</v>
      </c>
      <c r="G75" s="241" t="s">
        <v>171</v>
      </c>
      <c r="H75" s="245">
        <f>+SUBVENCION!U10+SUBVENCION!V10</f>
        <v>0</v>
      </c>
      <c r="I75" s="245"/>
      <c r="J75" s="253">
        <f>+J73+H75-I75</f>
        <v>8820001</v>
      </c>
      <c r="K75" s="44" t="s">
        <v>132</v>
      </c>
      <c r="L75" s="97" t="s">
        <v>5</v>
      </c>
      <c r="M75" s="97" t="s">
        <v>214</v>
      </c>
      <c r="N75" s="97" t="s">
        <v>212</v>
      </c>
      <c r="O75" s="97" t="s">
        <v>213</v>
      </c>
      <c r="P75" s="97" t="s">
        <v>7</v>
      </c>
    </row>
    <row r="76" spans="1:16" ht="12">
      <c r="A76" s="35"/>
      <c r="B76" s="244"/>
      <c r="C76" s="241"/>
      <c r="D76" s="241"/>
      <c r="E76" s="241"/>
      <c r="F76" s="241" t="s">
        <v>199</v>
      </c>
      <c r="G76" s="241" t="s">
        <v>199</v>
      </c>
      <c r="H76" s="245"/>
      <c r="I76" s="245"/>
      <c r="J76" s="253">
        <f>+J75+H76-I76</f>
        <v>8820001</v>
      </c>
      <c r="L76" s="37">
        <f>+H75</f>
        <v>0</v>
      </c>
      <c r="M76" s="51">
        <f>+L76*10%</f>
        <v>0</v>
      </c>
      <c r="N76" s="51">
        <f>+I76</f>
        <v>0</v>
      </c>
      <c r="O76" s="51">
        <f>SUM(I77:I86)</f>
        <v>0</v>
      </c>
      <c r="P76" s="303">
        <f>+L76-M76-N76-O76</f>
        <v>0</v>
      </c>
    </row>
    <row r="77" spans="1:16" ht="12">
      <c r="A77" s="35"/>
      <c r="B77" s="244"/>
      <c r="C77" s="241"/>
      <c r="D77" s="241"/>
      <c r="E77" s="241"/>
      <c r="F77" s="241"/>
      <c r="G77" s="241"/>
      <c r="H77" s="245"/>
      <c r="I77" s="245"/>
      <c r="J77" s="253">
        <f t="shared" ref="J77:J82" si="8">+J76+H77-I77</f>
        <v>8820001</v>
      </c>
      <c r="L77" s="155"/>
      <c r="M77" s="156"/>
      <c r="N77" s="156"/>
      <c r="O77" s="156"/>
      <c r="P77" s="157"/>
    </row>
    <row r="78" spans="1:16" ht="12">
      <c r="A78" s="35"/>
      <c r="B78" s="244"/>
      <c r="C78" s="241"/>
      <c r="D78" s="241"/>
      <c r="E78" s="241"/>
      <c r="F78" s="241"/>
      <c r="G78" s="241"/>
      <c r="H78" s="245"/>
      <c r="I78" s="245"/>
      <c r="J78" s="253">
        <f t="shared" si="8"/>
        <v>8820001</v>
      </c>
      <c r="L78" s="155"/>
      <c r="M78" s="156"/>
      <c r="N78" s="156"/>
      <c r="O78" s="156"/>
      <c r="P78" s="157"/>
    </row>
    <row r="79" spans="1:16" ht="12">
      <c r="A79" s="35"/>
      <c r="B79" s="244"/>
      <c r="C79" s="241"/>
      <c r="D79" s="241"/>
      <c r="E79" s="241"/>
      <c r="F79" s="241"/>
      <c r="G79" s="241"/>
      <c r="H79" s="245"/>
      <c r="I79" s="245"/>
      <c r="J79" s="253">
        <f t="shared" si="8"/>
        <v>8820001</v>
      </c>
      <c r="L79" s="155"/>
      <c r="M79" s="156"/>
      <c r="N79" s="156"/>
      <c r="O79" s="156"/>
      <c r="P79" s="157"/>
    </row>
    <row r="80" spans="1:16" ht="12">
      <c r="A80" s="35"/>
      <c r="B80" s="244"/>
      <c r="C80" s="241"/>
      <c r="D80" s="241"/>
      <c r="E80" s="241"/>
      <c r="F80" s="241"/>
      <c r="G80" s="241"/>
      <c r="H80" s="245"/>
      <c r="I80" s="245"/>
      <c r="J80" s="253">
        <f t="shared" si="8"/>
        <v>8820001</v>
      </c>
      <c r="L80" s="155"/>
      <c r="M80" s="156"/>
      <c r="N80" s="156"/>
      <c r="O80" s="156"/>
      <c r="P80" s="157"/>
    </row>
    <row r="81" spans="1:16" ht="12">
      <c r="A81" s="35"/>
      <c r="B81" s="249"/>
      <c r="C81" s="250"/>
      <c r="D81" s="250"/>
      <c r="E81" s="250"/>
      <c r="F81" s="250"/>
      <c r="G81" s="250"/>
      <c r="H81" s="248"/>
      <c r="I81" s="248"/>
      <c r="J81" s="253">
        <f t="shared" si="8"/>
        <v>8820001</v>
      </c>
      <c r="L81" s="155"/>
      <c r="M81" s="156"/>
      <c r="N81" s="156"/>
      <c r="O81" s="156"/>
      <c r="P81" s="157"/>
    </row>
    <row r="82" spans="1:16" ht="12">
      <c r="A82" s="35"/>
      <c r="B82" s="249"/>
      <c r="C82" s="250"/>
      <c r="D82" s="250"/>
      <c r="E82" s="250"/>
      <c r="F82" s="250"/>
      <c r="G82" s="251"/>
      <c r="H82" s="248"/>
      <c r="I82" s="248"/>
      <c r="J82" s="253">
        <f t="shared" si="8"/>
        <v>8820001</v>
      </c>
    </row>
    <row r="83" spans="1:16" ht="12">
      <c r="A83" s="35"/>
      <c r="B83" s="256"/>
      <c r="C83" s="250"/>
      <c r="D83" s="250"/>
      <c r="E83" s="250"/>
      <c r="F83" s="250"/>
      <c r="G83" s="250"/>
      <c r="H83" s="248"/>
      <c r="I83" s="248"/>
      <c r="J83" s="253">
        <f>+J82+H83-I83</f>
        <v>8820001</v>
      </c>
    </row>
    <row r="84" spans="1:16" ht="12">
      <c r="A84" s="35"/>
      <c r="B84" s="256"/>
      <c r="C84" s="250"/>
      <c r="D84" s="250"/>
      <c r="E84" s="250"/>
      <c r="F84" s="250"/>
      <c r="G84" s="251"/>
      <c r="H84" s="248"/>
      <c r="I84" s="248"/>
      <c r="J84" s="253">
        <f>+J83+H84-I84</f>
        <v>8820001</v>
      </c>
    </row>
    <row r="85" spans="1:16" ht="12">
      <c r="A85" s="35"/>
      <c r="B85" s="249"/>
      <c r="C85" s="250"/>
      <c r="D85" s="250"/>
      <c r="E85" s="250"/>
      <c r="F85" s="250"/>
      <c r="G85" s="251"/>
      <c r="H85" s="248"/>
      <c r="I85" s="248"/>
      <c r="J85" s="253">
        <f>+J84+H85-I85</f>
        <v>8820001</v>
      </c>
    </row>
    <row r="86" spans="1:16" ht="12">
      <c r="A86" s="35"/>
      <c r="B86" s="249"/>
      <c r="C86" s="250"/>
      <c r="D86" s="250"/>
      <c r="E86" s="250"/>
      <c r="F86" s="250"/>
      <c r="G86" s="251"/>
      <c r="H86" s="248"/>
      <c r="I86" s="248"/>
      <c r="J86" s="253">
        <f>+J85+H86-I86</f>
        <v>8820001</v>
      </c>
    </row>
    <row r="87" spans="1:16" ht="12">
      <c r="A87" s="35"/>
      <c r="B87" s="249"/>
      <c r="C87" s="250"/>
      <c r="D87" s="250"/>
      <c r="E87" s="250"/>
      <c r="F87" s="250"/>
      <c r="G87" s="251"/>
      <c r="H87" s="248"/>
      <c r="I87" s="248"/>
      <c r="J87" s="253">
        <f>+J86+H87-I87</f>
        <v>8820001</v>
      </c>
    </row>
    <row r="88" spans="1:16" ht="12">
      <c r="A88" s="35"/>
      <c r="B88" s="347" t="s">
        <v>133</v>
      </c>
      <c r="C88" s="348"/>
      <c r="D88" s="348"/>
      <c r="E88" s="348"/>
      <c r="F88" s="348"/>
      <c r="G88" s="348"/>
      <c r="H88" s="348"/>
      <c r="I88" s="348"/>
      <c r="J88" s="349"/>
    </row>
    <row r="89" spans="1:16" ht="12">
      <c r="A89" s="35"/>
      <c r="B89" s="244"/>
      <c r="C89" s="241"/>
      <c r="D89" s="241"/>
      <c r="E89" s="241"/>
      <c r="F89" s="241" t="s">
        <v>171</v>
      </c>
      <c r="G89" s="241" t="s">
        <v>171</v>
      </c>
      <c r="H89" s="245">
        <f>+SUBVENCION!W10+SUBVENCION!X10</f>
        <v>0</v>
      </c>
      <c r="I89" s="245"/>
      <c r="J89" s="253">
        <f>J87+H89-I89</f>
        <v>8820001</v>
      </c>
      <c r="K89" s="44" t="s">
        <v>133</v>
      </c>
      <c r="L89" s="97" t="s">
        <v>5</v>
      </c>
      <c r="M89" s="97" t="s">
        <v>214</v>
      </c>
      <c r="N89" s="97" t="s">
        <v>212</v>
      </c>
      <c r="O89" s="97" t="s">
        <v>213</v>
      </c>
      <c r="P89" s="97" t="s">
        <v>7</v>
      </c>
    </row>
    <row r="90" spans="1:16" ht="12">
      <c r="A90" s="35"/>
      <c r="B90" s="244"/>
      <c r="C90" s="241"/>
      <c r="D90" s="241"/>
      <c r="E90" s="241"/>
      <c r="F90" s="241" t="s">
        <v>199</v>
      </c>
      <c r="G90" s="241" t="s">
        <v>199</v>
      </c>
      <c r="H90" s="245"/>
      <c r="I90" s="245"/>
      <c r="J90" s="253">
        <f t="shared" ref="J90:J113" si="9">+J89+H90-I90</f>
        <v>8820001</v>
      </c>
      <c r="L90" s="37">
        <f>+H89</f>
        <v>0</v>
      </c>
      <c r="M90" s="51">
        <f>+L90*10%</f>
        <v>0</v>
      </c>
      <c r="N90" s="51">
        <f>+I90</f>
        <v>0</v>
      </c>
      <c r="O90" s="51">
        <f>SUM(I91:I102)</f>
        <v>0</v>
      </c>
      <c r="P90" s="153">
        <f>+L90-M90-N90-O90</f>
        <v>0</v>
      </c>
    </row>
    <row r="91" spans="1:16" ht="12">
      <c r="A91" s="35"/>
      <c r="B91" s="244"/>
      <c r="C91" s="241"/>
      <c r="D91" s="241"/>
      <c r="E91" s="241"/>
      <c r="F91" s="241"/>
      <c r="G91" s="247"/>
      <c r="H91" s="245"/>
      <c r="I91" s="245"/>
      <c r="J91" s="253">
        <f t="shared" si="9"/>
        <v>8820001</v>
      </c>
    </row>
    <row r="92" spans="1:16" ht="12">
      <c r="A92" s="35"/>
      <c r="B92" s="244"/>
      <c r="C92" s="241"/>
      <c r="D92" s="241"/>
      <c r="E92" s="241"/>
      <c r="F92" s="241"/>
      <c r="G92" s="241"/>
      <c r="H92" s="245"/>
      <c r="I92" s="245"/>
      <c r="J92" s="253">
        <f t="shared" si="9"/>
        <v>8820001</v>
      </c>
    </row>
    <row r="93" spans="1:16" ht="12">
      <c r="A93" s="35"/>
      <c r="B93" s="244"/>
      <c r="C93" s="241"/>
      <c r="D93" s="241"/>
      <c r="E93" s="241"/>
      <c r="F93" s="250"/>
      <c r="G93" s="251"/>
      <c r="H93" s="245"/>
      <c r="I93" s="245"/>
      <c r="J93" s="253">
        <f t="shared" si="9"/>
        <v>8820001</v>
      </c>
    </row>
    <row r="94" spans="1:16" ht="12">
      <c r="A94" s="35"/>
      <c r="B94" s="244"/>
      <c r="C94" s="241"/>
      <c r="D94" s="241"/>
      <c r="E94" s="241"/>
      <c r="F94" s="241"/>
      <c r="G94" s="247"/>
      <c r="H94" s="245"/>
      <c r="I94" s="245"/>
      <c r="J94" s="253">
        <f t="shared" si="9"/>
        <v>8820001</v>
      </c>
    </row>
    <row r="95" spans="1:16" ht="12">
      <c r="A95" s="35"/>
      <c r="B95" s="244"/>
      <c r="C95" s="241"/>
      <c r="D95" s="241"/>
      <c r="E95" s="241"/>
      <c r="F95" s="241"/>
      <c r="G95" s="241"/>
      <c r="H95" s="245"/>
      <c r="I95" s="245"/>
      <c r="J95" s="253">
        <f t="shared" si="9"/>
        <v>8820001</v>
      </c>
    </row>
    <row r="96" spans="1:16" ht="12">
      <c r="A96" s="35"/>
      <c r="B96" s="249"/>
      <c r="C96" s="250"/>
      <c r="D96" s="250"/>
      <c r="E96" s="250"/>
      <c r="F96" s="250"/>
      <c r="G96" s="250"/>
      <c r="H96" s="248"/>
      <c r="I96" s="248"/>
      <c r="J96" s="253">
        <f t="shared" si="9"/>
        <v>8820001</v>
      </c>
    </row>
    <row r="97" spans="1:16" ht="12">
      <c r="A97" s="35"/>
      <c r="B97" s="249"/>
      <c r="C97" s="250"/>
      <c r="D97" s="250"/>
      <c r="E97" s="250"/>
      <c r="F97" s="250"/>
      <c r="G97" s="251"/>
      <c r="H97" s="248"/>
      <c r="I97" s="248"/>
      <c r="J97" s="253">
        <f t="shared" si="9"/>
        <v>8820001</v>
      </c>
    </row>
    <row r="98" spans="1:16" ht="12">
      <c r="A98" s="35"/>
      <c r="B98" s="244"/>
      <c r="C98" s="241"/>
      <c r="D98" s="241"/>
      <c r="E98" s="241"/>
      <c r="F98" s="241"/>
      <c r="G98" s="247"/>
      <c r="H98" s="245"/>
      <c r="I98" s="245"/>
      <c r="J98" s="253">
        <f t="shared" si="9"/>
        <v>8820001</v>
      </c>
    </row>
    <row r="99" spans="1:16" ht="12">
      <c r="A99" s="35"/>
      <c r="B99" s="244"/>
      <c r="C99" s="241"/>
      <c r="D99" s="241"/>
      <c r="E99" s="241"/>
      <c r="F99" s="241"/>
      <c r="G99" s="247"/>
      <c r="H99" s="245"/>
      <c r="I99" s="245"/>
      <c r="J99" s="253">
        <f t="shared" si="9"/>
        <v>8820001</v>
      </c>
    </row>
    <row r="100" spans="1:16" ht="12">
      <c r="A100" s="35"/>
      <c r="B100" s="244"/>
      <c r="C100" s="241"/>
      <c r="D100" s="241"/>
      <c r="E100" s="241"/>
      <c r="F100" s="241"/>
      <c r="G100" s="247"/>
      <c r="H100" s="245"/>
      <c r="I100" s="245"/>
      <c r="J100" s="253">
        <f t="shared" si="9"/>
        <v>8820001</v>
      </c>
    </row>
    <row r="101" spans="1:16" ht="12">
      <c r="A101" s="35"/>
      <c r="B101" s="244"/>
      <c r="C101" s="241"/>
      <c r="D101" s="241"/>
      <c r="E101" s="241"/>
      <c r="F101" s="241"/>
      <c r="G101" s="247"/>
      <c r="H101" s="245"/>
      <c r="I101" s="245"/>
      <c r="J101" s="253">
        <f t="shared" si="9"/>
        <v>8820001</v>
      </c>
    </row>
    <row r="102" spans="1:16" ht="12">
      <c r="A102" s="35"/>
      <c r="B102" s="244"/>
      <c r="C102" s="241"/>
      <c r="D102" s="241"/>
      <c r="E102" s="241"/>
      <c r="F102" s="241"/>
      <c r="G102" s="247"/>
      <c r="H102" s="245"/>
      <c r="I102" s="245"/>
      <c r="J102" s="253">
        <f t="shared" si="9"/>
        <v>8820001</v>
      </c>
    </row>
    <row r="103" spans="1:16" ht="12">
      <c r="A103" s="35"/>
      <c r="B103" s="244"/>
      <c r="C103" s="241"/>
      <c r="D103" s="241"/>
      <c r="E103" s="241"/>
      <c r="F103" s="247"/>
      <c r="G103" s="241"/>
      <c r="H103" s="245"/>
      <c r="I103" s="245"/>
      <c r="J103" s="253">
        <f t="shared" si="9"/>
        <v>8820001</v>
      </c>
    </row>
    <row r="104" spans="1:16" ht="12">
      <c r="A104" s="35"/>
      <c r="B104" s="347" t="s">
        <v>134</v>
      </c>
      <c r="C104" s="348"/>
      <c r="D104" s="348"/>
      <c r="E104" s="348"/>
      <c r="F104" s="348"/>
      <c r="G104" s="348"/>
      <c r="H104" s="348"/>
      <c r="I104" s="348"/>
      <c r="J104" s="349"/>
    </row>
    <row r="105" spans="1:16" ht="12">
      <c r="A105" s="35"/>
      <c r="B105" s="244"/>
      <c r="C105" s="241"/>
      <c r="D105" s="241"/>
      <c r="E105" s="241"/>
      <c r="F105" s="241" t="s">
        <v>171</v>
      </c>
      <c r="G105" s="241" t="s">
        <v>171</v>
      </c>
      <c r="H105" s="245">
        <f>+SUBVENCION!Y10+SUBVENCION!Z10</f>
        <v>0</v>
      </c>
      <c r="I105" s="245"/>
      <c r="J105" s="253">
        <f>+J103+H105-I105</f>
        <v>8820001</v>
      </c>
      <c r="K105" s="44" t="s">
        <v>134</v>
      </c>
      <c r="L105" s="97" t="s">
        <v>5</v>
      </c>
      <c r="M105" s="97" t="s">
        <v>214</v>
      </c>
      <c r="N105" s="97" t="s">
        <v>212</v>
      </c>
      <c r="O105" s="97" t="s">
        <v>213</v>
      </c>
      <c r="P105" s="97" t="s">
        <v>7</v>
      </c>
    </row>
    <row r="106" spans="1:16" ht="12">
      <c r="A106" s="35"/>
      <c r="B106" s="244"/>
      <c r="C106" s="241"/>
      <c r="D106" s="241"/>
      <c r="E106" s="241"/>
      <c r="F106" s="241" t="s">
        <v>199</v>
      </c>
      <c r="G106" s="241" t="s">
        <v>199</v>
      </c>
      <c r="H106" s="245"/>
      <c r="I106" s="245"/>
      <c r="J106" s="253">
        <f t="shared" si="9"/>
        <v>8820001</v>
      </c>
      <c r="L106" s="37">
        <f>+H105</f>
        <v>0</v>
      </c>
      <c r="M106" s="51">
        <f>+L106*10%</f>
        <v>0</v>
      </c>
      <c r="N106" s="51">
        <f>+I106</f>
        <v>0</v>
      </c>
      <c r="O106" s="51">
        <f>+I107</f>
        <v>0</v>
      </c>
      <c r="P106" s="153">
        <f>+L106-M106-N106-O106</f>
        <v>0</v>
      </c>
    </row>
    <row r="107" spans="1:16" ht="12">
      <c r="A107" s="35"/>
      <c r="B107" s="244"/>
      <c r="C107" s="241"/>
      <c r="D107" s="241"/>
      <c r="E107" s="257"/>
      <c r="F107" s="250"/>
      <c r="G107" s="251"/>
      <c r="H107" s="245"/>
      <c r="I107" s="245"/>
      <c r="J107" s="253">
        <f t="shared" si="9"/>
        <v>8820001</v>
      </c>
    </row>
    <row r="108" spans="1:16" ht="12">
      <c r="A108" s="35"/>
      <c r="B108" s="244"/>
      <c r="C108" s="241"/>
      <c r="D108" s="241"/>
      <c r="E108" s="257"/>
      <c r="F108" s="250"/>
      <c r="G108" s="251"/>
      <c r="H108" s="245"/>
      <c r="I108" s="245"/>
      <c r="J108" s="253">
        <f t="shared" si="9"/>
        <v>8820001</v>
      </c>
    </row>
    <row r="109" spans="1:16" ht="12">
      <c r="A109" s="35"/>
      <c r="B109" s="244"/>
      <c r="C109" s="241"/>
      <c r="D109" s="241"/>
      <c r="E109" s="257"/>
      <c r="F109" s="250"/>
      <c r="G109" s="251"/>
      <c r="H109" s="245"/>
      <c r="I109" s="245"/>
      <c r="J109" s="253">
        <f t="shared" si="9"/>
        <v>8820001</v>
      </c>
    </row>
    <row r="110" spans="1:16" ht="12">
      <c r="A110" s="35"/>
      <c r="B110" s="244"/>
      <c r="C110" s="241"/>
      <c r="D110" s="241"/>
      <c r="E110" s="257"/>
      <c r="F110" s="250"/>
      <c r="G110" s="251"/>
      <c r="H110" s="245"/>
      <c r="I110" s="245"/>
      <c r="J110" s="253">
        <f t="shared" si="9"/>
        <v>8820001</v>
      </c>
    </row>
    <row r="111" spans="1:16" ht="12">
      <c r="A111" s="35"/>
      <c r="B111" s="244"/>
      <c r="C111" s="241"/>
      <c r="D111" s="241"/>
      <c r="E111" s="257"/>
      <c r="F111" s="250"/>
      <c r="G111" s="251"/>
      <c r="H111" s="245"/>
      <c r="I111" s="245"/>
      <c r="J111" s="253">
        <f t="shared" si="9"/>
        <v>8820001</v>
      </c>
    </row>
    <row r="112" spans="1:16" ht="12">
      <c r="A112" s="35"/>
      <c r="B112" s="244"/>
      <c r="C112" s="241"/>
      <c r="D112" s="241"/>
      <c r="E112" s="241"/>
      <c r="F112" s="241"/>
      <c r="G112" s="247"/>
      <c r="H112" s="245"/>
      <c r="I112" s="245"/>
      <c r="J112" s="253">
        <f t="shared" si="9"/>
        <v>8820001</v>
      </c>
    </row>
    <row r="113" spans="1:16" ht="12">
      <c r="A113" s="35"/>
      <c r="B113" s="244"/>
      <c r="C113" s="241"/>
      <c r="D113" s="241"/>
      <c r="E113" s="241"/>
      <c r="F113" s="241" t="s">
        <v>201</v>
      </c>
      <c r="G113" s="247" t="s">
        <v>135</v>
      </c>
      <c r="H113" s="245">
        <f>(H11+H15+H19+H30+H38+H44+H52+H58+H67+H75+H89+H105)*-10%</f>
        <v>-6198298.8000000007</v>
      </c>
      <c r="I113" s="245"/>
      <c r="J113" s="253">
        <f t="shared" si="9"/>
        <v>2621702.1999999993</v>
      </c>
      <c r="K113" s="44" t="s">
        <v>215</v>
      </c>
      <c r="L113" s="97" t="s">
        <v>5</v>
      </c>
      <c r="M113" s="97" t="s">
        <v>214</v>
      </c>
      <c r="N113" s="97" t="s">
        <v>212</v>
      </c>
      <c r="O113" s="97" t="s">
        <v>213</v>
      </c>
      <c r="P113" s="97" t="s">
        <v>7</v>
      </c>
    </row>
    <row r="114" spans="1:16" ht="12">
      <c r="A114" s="48"/>
      <c r="B114" s="237" t="s">
        <v>8</v>
      </c>
      <c r="C114" s="238" t="s">
        <v>8</v>
      </c>
      <c r="D114" s="238"/>
      <c r="E114" s="238"/>
      <c r="F114" s="238"/>
      <c r="G114" s="238" t="s">
        <v>9</v>
      </c>
      <c r="H114" s="258">
        <f>SUM(H11:H113)</f>
        <v>55784689.200000003</v>
      </c>
      <c r="I114" s="258">
        <f>SUM(I10:I113)</f>
        <v>53162987</v>
      </c>
      <c r="J114" s="259">
        <f>+H114-I114</f>
        <v>2621702.200000003</v>
      </c>
      <c r="L114" s="37">
        <f>+H11+H15+H19+H30+H38+H44+H52+H58+H67+H75+H89+H105</f>
        <v>61982988</v>
      </c>
      <c r="M114" s="51">
        <f>+L114*10%</f>
        <v>6198298.8000000007</v>
      </c>
      <c r="N114" s="51">
        <f>+I12+I16+I20+I31+I39+I45+I53+I59+I68+I76+I90+I106</f>
        <v>44982587</v>
      </c>
      <c r="O114" s="51">
        <f>I21+I22+I23+I24+I25+I26+I27+I32+I33+I34+I35+I41+I40+I42+I46+I48+I47+I49+I50+I54+I60+I61+I62+I63+I64+I69+I70+I71+I72</f>
        <v>8180400</v>
      </c>
      <c r="P114" s="153">
        <f>+L114-M114-N114-O114</f>
        <v>2621702.200000003</v>
      </c>
    </row>
    <row r="116" spans="1:16">
      <c r="H116" s="104"/>
    </row>
    <row r="117" spans="1:16">
      <c r="H117" s="97" t="s">
        <v>5</v>
      </c>
      <c r="I117" s="97" t="s">
        <v>6</v>
      </c>
      <c r="J117" s="97" t="s">
        <v>198</v>
      </c>
      <c r="N117" s="181"/>
      <c r="O117" s="154"/>
      <c r="P117" s="154">
        <f>+P12+P16+P20+P31+P39+P45+P53+P59+P68+P76+P90+P106</f>
        <v>2621702.1999999993</v>
      </c>
    </row>
    <row r="118" spans="1:16">
      <c r="H118" s="37">
        <f>+H114</f>
        <v>55784689.200000003</v>
      </c>
      <c r="I118" s="43">
        <f>+I114</f>
        <v>53162987</v>
      </c>
      <c r="J118" s="143">
        <f>+I118*100/H118</f>
        <v>95.300319428865791</v>
      </c>
    </row>
    <row r="119" spans="1:16">
      <c r="M119" s="180"/>
    </row>
  </sheetData>
  <autoFilter ref="A8:J114" xr:uid="{00000000-0009-0000-0000-000005000000}"/>
  <mergeCells count="18">
    <mergeCell ref="B2:J2"/>
    <mergeCell ref="B3:J3"/>
    <mergeCell ref="B4:J4"/>
    <mergeCell ref="B5:J5"/>
    <mergeCell ref="B6:J6"/>
    <mergeCell ref="B104:J104"/>
    <mergeCell ref="B43:J43"/>
    <mergeCell ref="B37:J37"/>
    <mergeCell ref="B7:J7"/>
    <mergeCell ref="B29:J29"/>
    <mergeCell ref="B18:J18"/>
    <mergeCell ref="B14:J14"/>
    <mergeCell ref="B10:J10"/>
    <mergeCell ref="B88:J88"/>
    <mergeCell ref="B74:J74"/>
    <mergeCell ref="B66:J66"/>
    <mergeCell ref="B57:J57"/>
    <mergeCell ref="B51:J51"/>
  </mergeCells>
  <conditionalFormatting sqref="B43 H67:J73">
    <cfRule type="cellIs" dxfId="160" priority="10" operator="lessThan">
      <formula>0</formula>
    </cfRule>
  </conditionalFormatting>
  <conditionalFormatting sqref="B51">
    <cfRule type="cellIs" dxfId="159" priority="9" operator="lessThan">
      <formula>0</formula>
    </cfRule>
  </conditionalFormatting>
  <conditionalFormatting sqref="H1:J36 B37 H38:J42 H44:J50 H52:J56 H58:J59 H60:I64 J60:J65 H65 H119:J1048576">
    <cfRule type="cellIs" dxfId="158" priority="12" operator="lessThan">
      <formula>0</formula>
    </cfRule>
  </conditionalFormatting>
  <conditionalFormatting sqref="H75:J87">
    <cfRule type="cellIs" dxfId="157" priority="6" operator="lessThan">
      <formula>0</formula>
    </cfRule>
  </conditionalFormatting>
  <conditionalFormatting sqref="H89:J103">
    <cfRule type="cellIs" dxfId="156" priority="8" operator="lessThan">
      <formula>0</formula>
    </cfRule>
  </conditionalFormatting>
  <conditionalFormatting sqref="H105:J116">
    <cfRule type="cellIs" dxfId="155" priority="2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116"/>
  <sheetViews>
    <sheetView showGridLines="0" topLeftCell="A61" workbookViewId="0">
      <selection activeCell="B74" sqref="B74:J74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1.42578125" style="44"/>
    <col min="6" max="6" width="25.7109375" style="44" bestFit="1" customWidth="1"/>
    <col min="7" max="7" width="25.5703125" style="44" bestFit="1" customWidth="1"/>
    <col min="8" max="16384" width="11.42578125" style="44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6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</row>
    <row r="3" spans="1:16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</row>
    <row r="4" spans="1:16">
      <c r="A4" s="35"/>
      <c r="B4" s="327" t="s">
        <v>85</v>
      </c>
      <c r="C4" s="328"/>
      <c r="D4" s="328"/>
      <c r="E4" s="328"/>
      <c r="F4" s="328"/>
      <c r="G4" s="328"/>
      <c r="H4" s="328"/>
      <c r="I4" s="328"/>
      <c r="J4" s="329"/>
    </row>
    <row r="5" spans="1:16">
      <c r="A5" s="35"/>
      <c r="B5" s="327" t="s">
        <v>86</v>
      </c>
      <c r="C5" s="328"/>
      <c r="D5" s="328"/>
      <c r="E5" s="328"/>
      <c r="F5" s="328"/>
      <c r="G5" s="328"/>
      <c r="H5" s="328"/>
      <c r="I5" s="328"/>
      <c r="J5" s="329"/>
    </row>
    <row r="6" spans="1:16">
      <c r="A6" s="35"/>
      <c r="B6" s="327" t="s">
        <v>74</v>
      </c>
      <c r="C6" s="328"/>
      <c r="D6" s="328"/>
      <c r="E6" s="328"/>
      <c r="F6" s="328"/>
      <c r="G6" s="328"/>
      <c r="H6" s="328"/>
      <c r="I6" s="328"/>
      <c r="J6" s="329"/>
    </row>
    <row r="7" spans="1:16">
      <c r="A7" s="35"/>
      <c r="B7" s="327" t="s">
        <v>84</v>
      </c>
      <c r="C7" s="328"/>
      <c r="D7" s="328"/>
      <c r="E7" s="328"/>
      <c r="F7" s="328"/>
      <c r="G7" s="328"/>
      <c r="H7" s="328"/>
      <c r="I7" s="328"/>
      <c r="J7" s="329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>
      <c r="A9" s="35"/>
      <c r="B9" s="41"/>
      <c r="C9" s="42"/>
      <c r="D9" s="42"/>
      <c r="E9" s="42"/>
      <c r="F9" s="42"/>
      <c r="G9" s="45" t="s">
        <v>237</v>
      </c>
      <c r="H9" s="51">
        <f>'[1]G-412'!$J$94</f>
        <v>516412.60000000149</v>
      </c>
      <c r="I9" s="51"/>
      <c r="J9" s="51">
        <f>+H9-I9</f>
        <v>516412.60000000149</v>
      </c>
    </row>
    <row r="10" spans="1:16" s="49" customForma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</row>
    <row r="11" spans="1:16">
      <c r="A11" s="35"/>
      <c r="B11" s="41"/>
      <c r="C11" s="42"/>
      <c r="D11" s="42"/>
      <c r="E11" s="42"/>
      <c r="F11" s="42" t="s">
        <v>171</v>
      </c>
      <c r="G11" s="42" t="s">
        <v>171</v>
      </c>
      <c r="H11" s="51">
        <f>SUBVENCION!C17+SUBVENCION!D17</f>
        <v>3279538</v>
      </c>
      <c r="I11" s="51"/>
      <c r="J11" s="51">
        <f>J9+H11-I11</f>
        <v>3795950.6000000015</v>
      </c>
      <c r="K11" s="44" t="s">
        <v>66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</row>
    <row r="12" spans="1:16">
      <c r="A12" s="35"/>
      <c r="B12" s="41"/>
      <c r="C12" s="42"/>
      <c r="D12" s="42"/>
      <c r="E12" s="42"/>
      <c r="F12" s="42" t="s">
        <v>199</v>
      </c>
      <c r="G12" s="42" t="s">
        <v>199</v>
      </c>
      <c r="H12" s="51"/>
      <c r="I12" s="51">
        <v>2514764</v>
      </c>
      <c r="J12" s="51">
        <f>+J11+H12-I12</f>
        <v>1281186.6000000015</v>
      </c>
      <c r="L12" s="37">
        <f>+H11</f>
        <v>3279538</v>
      </c>
      <c r="M12" s="51">
        <f>+L12*10%</f>
        <v>327953.80000000005</v>
      </c>
      <c r="N12" s="51">
        <f>+I12</f>
        <v>2514764</v>
      </c>
      <c r="O12" s="51">
        <v>0</v>
      </c>
      <c r="P12" s="303">
        <f>+L12-M12-N12-O12</f>
        <v>436820.20000000019</v>
      </c>
    </row>
    <row r="13" spans="1:16" s="49" customFormat="1">
      <c r="A13" s="48"/>
      <c r="B13" s="330" t="s">
        <v>67</v>
      </c>
      <c r="C13" s="331"/>
      <c r="D13" s="331"/>
      <c r="E13" s="331"/>
      <c r="F13" s="331"/>
      <c r="G13" s="331"/>
      <c r="H13" s="331"/>
      <c r="I13" s="331"/>
      <c r="J13" s="332"/>
    </row>
    <row r="14" spans="1:16">
      <c r="A14" s="35"/>
      <c r="B14" s="41"/>
      <c r="C14" s="42"/>
      <c r="D14" s="42"/>
      <c r="E14" s="42"/>
      <c r="F14" s="42" t="s">
        <v>171</v>
      </c>
      <c r="G14" s="42" t="s">
        <v>171</v>
      </c>
      <c r="H14" s="51">
        <f>SUBVENCION!E17+SUBVENCION!F17</f>
        <v>3478421</v>
      </c>
      <c r="I14" s="51"/>
      <c r="J14" s="51">
        <f>+J12+H14-I14</f>
        <v>4759607.6000000015</v>
      </c>
      <c r="K14" s="44" t="s">
        <v>67</v>
      </c>
      <c r="L14" s="97" t="s">
        <v>5</v>
      </c>
      <c r="M14" s="97" t="s">
        <v>214</v>
      </c>
      <c r="N14" s="97" t="s">
        <v>212</v>
      </c>
      <c r="O14" s="97" t="s">
        <v>213</v>
      </c>
      <c r="P14" s="97" t="s">
        <v>7</v>
      </c>
    </row>
    <row r="15" spans="1:16">
      <c r="A15" s="35"/>
      <c r="B15" s="41"/>
      <c r="C15" s="42"/>
      <c r="D15" s="42"/>
      <c r="E15" s="42"/>
      <c r="F15" s="42" t="s">
        <v>199</v>
      </c>
      <c r="G15" s="42" t="s">
        <v>199</v>
      </c>
      <c r="H15" s="51"/>
      <c r="I15" s="150">
        <v>3755289</v>
      </c>
      <c r="J15" s="51">
        <f>+J14+H15-I15</f>
        <v>1004318.6000000015</v>
      </c>
      <c r="L15" s="37">
        <f>+H14</f>
        <v>3478421</v>
      </c>
      <c r="M15" s="51">
        <f>+L15*10%</f>
        <v>347842.10000000003</v>
      </c>
      <c r="N15" s="51">
        <f>+I15</f>
        <v>3755289</v>
      </c>
      <c r="O15" s="51">
        <v>0</v>
      </c>
      <c r="P15" s="303">
        <f>+L15-M15-N15-O15</f>
        <v>-624710.10000000009</v>
      </c>
    </row>
    <row r="16" spans="1:16" s="49" customFormat="1">
      <c r="A16" s="48"/>
      <c r="B16" s="330" t="s">
        <v>68</v>
      </c>
      <c r="C16" s="331"/>
      <c r="D16" s="331"/>
      <c r="E16" s="331"/>
      <c r="F16" s="331"/>
      <c r="G16" s="331"/>
      <c r="H16" s="331"/>
      <c r="I16" s="331"/>
      <c r="J16" s="332"/>
    </row>
    <row r="17" spans="1:16">
      <c r="A17" s="35"/>
      <c r="B17" s="41"/>
      <c r="C17" s="42"/>
      <c r="D17" s="42"/>
      <c r="E17" s="42"/>
      <c r="F17" s="42" t="s">
        <v>171</v>
      </c>
      <c r="G17" s="42" t="s">
        <v>171</v>
      </c>
      <c r="H17" s="51">
        <f>SUBVENCION!G17+SUBVENCION!H17</f>
        <v>3345129</v>
      </c>
      <c r="I17" s="51"/>
      <c r="J17" s="51">
        <f>+J15+H17-I17</f>
        <v>4349447.6000000015</v>
      </c>
      <c r="K17" s="44" t="s">
        <v>68</v>
      </c>
      <c r="L17" s="97" t="s">
        <v>5</v>
      </c>
      <c r="M17" s="97" t="s">
        <v>214</v>
      </c>
      <c r="N17" s="97" t="s">
        <v>212</v>
      </c>
      <c r="O17" s="97" t="s">
        <v>213</v>
      </c>
      <c r="P17" s="97" t="s">
        <v>7</v>
      </c>
    </row>
    <row r="18" spans="1:16">
      <c r="A18" s="35"/>
      <c r="B18" s="41"/>
      <c r="C18" s="42"/>
      <c r="D18" s="42"/>
      <c r="E18" s="42"/>
      <c r="F18" s="42" t="s">
        <v>199</v>
      </c>
      <c r="G18" s="42" t="s">
        <v>199</v>
      </c>
      <c r="H18" s="51"/>
      <c r="I18" s="150">
        <v>2584197</v>
      </c>
      <c r="J18" s="51">
        <f>+J17+H18-I18</f>
        <v>1765250.6000000015</v>
      </c>
      <c r="L18" s="37">
        <f>+H17</f>
        <v>3345129</v>
      </c>
      <c r="M18" s="51">
        <f>+L18*10%</f>
        <v>334512.90000000002</v>
      </c>
      <c r="N18" s="51">
        <f>+I18</f>
        <v>2584197</v>
      </c>
      <c r="O18" s="51">
        <f>I19++I20+I21+I22+I23+I24+I25+I26+I27</f>
        <v>824974</v>
      </c>
      <c r="P18" s="303">
        <f>+L18-M18-N18-O18</f>
        <v>-398554.89999999991</v>
      </c>
    </row>
    <row r="19" spans="1:16">
      <c r="A19" s="35"/>
      <c r="B19" s="41">
        <v>46086</v>
      </c>
      <c r="C19" s="42">
        <v>2</v>
      </c>
      <c r="D19" s="42">
        <v>51</v>
      </c>
      <c r="E19" s="42">
        <v>270</v>
      </c>
      <c r="F19" s="42" t="s">
        <v>278</v>
      </c>
      <c r="G19" s="42" t="s">
        <v>281</v>
      </c>
      <c r="H19" s="51"/>
      <c r="I19" s="51">
        <v>208250</v>
      </c>
      <c r="J19" s="51">
        <f t="shared" ref="J19:J27" si="0">+J18+H19-I19</f>
        <v>1557000.6000000015</v>
      </c>
      <c r="L19" s="155"/>
      <c r="M19" s="156"/>
      <c r="N19" s="156"/>
      <c r="O19" s="156"/>
      <c r="P19" s="157"/>
    </row>
    <row r="20" spans="1:16">
      <c r="A20" s="35"/>
      <c r="B20" s="41">
        <v>46092</v>
      </c>
      <c r="C20" s="42">
        <v>4</v>
      </c>
      <c r="D20" s="42">
        <v>84</v>
      </c>
      <c r="E20" s="42">
        <v>398</v>
      </c>
      <c r="F20" s="42" t="s">
        <v>267</v>
      </c>
      <c r="G20" s="42" t="s">
        <v>284</v>
      </c>
      <c r="H20" s="51"/>
      <c r="I20" s="51">
        <v>204894</v>
      </c>
      <c r="J20" s="51">
        <f t="shared" si="0"/>
        <v>1352106.6000000015</v>
      </c>
      <c r="L20" s="155"/>
      <c r="M20" s="156"/>
      <c r="N20" s="156"/>
      <c r="O20" s="156"/>
      <c r="P20" s="157"/>
    </row>
    <row r="21" spans="1:16">
      <c r="A21" s="35"/>
      <c r="B21" s="41">
        <v>46093</v>
      </c>
      <c r="C21" s="42">
        <v>6</v>
      </c>
      <c r="D21" s="42">
        <v>104</v>
      </c>
      <c r="E21" s="42">
        <v>379</v>
      </c>
      <c r="F21" s="42" t="s">
        <v>267</v>
      </c>
      <c r="G21" s="42" t="s">
        <v>240</v>
      </c>
      <c r="H21" s="51"/>
      <c r="I21" s="51">
        <v>202830</v>
      </c>
      <c r="J21" s="51">
        <f t="shared" si="0"/>
        <v>1149276.6000000015</v>
      </c>
      <c r="L21" s="155"/>
      <c r="M21" s="156"/>
      <c r="N21" s="156"/>
      <c r="O21" s="156"/>
      <c r="P21" s="157"/>
    </row>
    <row r="22" spans="1:16">
      <c r="A22" s="35"/>
      <c r="B22" s="41">
        <v>46098</v>
      </c>
      <c r="C22" s="42">
        <v>8</v>
      </c>
      <c r="D22" s="42">
        <v>124</v>
      </c>
      <c r="E22" s="42">
        <v>382</v>
      </c>
      <c r="F22" s="42" t="s">
        <v>267</v>
      </c>
      <c r="G22" s="42" t="s">
        <v>240</v>
      </c>
      <c r="H22" s="51"/>
      <c r="I22" s="51">
        <v>209000</v>
      </c>
      <c r="J22" s="51">
        <f t="shared" si="0"/>
        <v>940276.60000000149</v>
      </c>
      <c r="L22" s="155"/>
      <c r="M22" s="156"/>
      <c r="N22" s="156"/>
      <c r="O22" s="156"/>
      <c r="P22" s="157"/>
    </row>
    <row r="23" spans="1:16">
      <c r="A23" s="35"/>
      <c r="B23" s="41"/>
      <c r="C23" s="42"/>
      <c r="D23" s="42"/>
      <c r="E23" s="42"/>
      <c r="F23" s="42"/>
      <c r="G23" s="42"/>
      <c r="H23" s="51"/>
      <c r="I23" s="51"/>
      <c r="J23" s="51">
        <f t="shared" si="0"/>
        <v>940276.60000000149</v>
      </c>
      <c r="L23" s="155"/>
      <c r="M23" s="156"/>
      <c r="N23" s="156"/>
      <c r="O23" s="156"/>
      <c r="P23" s="157"/>
    </row>
    <row r="24" spans="1:16">
      <c r="A24" s="35"/>
      <c r="B24" s="41"/>
      <c r="C24" s="42"/>
      <c r="D24" s="42"/>
      <c r="E24" s="42"/>
      <c r="F24" s="42"/>
      <c r="G24" s="42"/>
      <c r="H24" s="51"/>
      <c r="I24" s="51"/>
      <c r="J24" s="51">
        <f t="shared" si="0"/>
        <v>940276.60000000149</v>
      </c>
      <c r="L24" s="155"/>
      <c r="M24" s="156"/>
      <c r="N24" s="156"/>
      <c r="O24" s="156"/>
      <c r="P24" s="157"/>
    </row>
    <row r="25" spans="1:16">
      <c r="A25" s="35"/>
      <c r="B25" s="41"/>
      <c r="C25" s="42"/>
      <c r="D25" s="42"/>
      <c r="E25" s="42"/>
      <c r="F25" s="42"/>
      <c r="G25" s="42"/>
      <c r="H25" s="51"/>
      <c r="I25" s="51"/>
      <c r="J25" s="51">
        <f t="shared" si="0"/>
        <v>940276.60000000149</v>
      </c>
      <c r="L25" s="155"/>
      <c r="M25" s="156"/>
      <c r="N25" s="156"/>
      <c r="O25" s="156"/>
      <c r="P25" s="157"/>
    </row>
    <row r="26" spans="1:16">
      <c r="A26" s="35"/>
      <c r="B26" s="41"/>
      <c r="C26" s="42"/>
      <c r="D26" s="42"/>
      <c r="E26" s="42"/>
      <c r="F26" s="42"/>
      <c r="G26" s="42"/>
      <c r="H26" s="51"/>
      <c r="I26" s="51"/>
      <c r="J26" s="51">
        <f t="shared" si="0"/>
        <v>940276.60000000149</v>
      </c>
      <c r="L26" s="155"/>
      <c r="M26" s="156"/>
      <c r="N26" s="156"/>
      <c r="O26" s="156"/>
      <c r="P26" s="157"/>
    </row>
    <row r="27" spans="1:16">
      <c r="A27" s="35"/>
      <c r="B27" s="41"/>
      <c r="C27" s="42"/>
      <c r="D27" s="42"/>
      <c r="E27" s="42"/>
      <c r="F27" s="42"/>
      <c r="G27" s="42"/>
      <c r="H27" s="51"/>
      <c r="I27" s="51"/>
      <c r="J27" s="51">
        <f t="shared" si="0"/>
        <v>940276.60000000149</v>
      </c>
      <c r="L27" s="155"/>
      <c r="M27" s="156"/>
      <c r="N27" s="156"/>
      <c r="O27" s="156"/>
      <c r="P27" s="157"/>
    </row>
    <row r="28" spans="1:16" s="49" customFormat="1">
      <c r="B28" s="330" t="s">
        <v>69</v>
      </c>
      <c r="C28" s="331"/>
      <c r="D28" s="331"/>
      <c r="E28" s="331"/>
      <c r="F28" s="331"/>
      <c r="G28" s="331"/>
      <c r="H28" s="331"/>
      <c r="I28" s="331"/>
      <c r="J28" s="332"/>
    </row>
    <row r="29" spans="1:16">
      <c r="B29" s="41"/>
      <c r="C29" s="42"/>
      <c r="D29" s="42"/>
      <c r="E29" s="42"/>
      <c r="F29" s="42" t="s">
        <v>171</v>
      </c>
      <c r="G29" s="42" t="s">
        <v>171</v>
      </c>
      <c r="H29" s="51">
        <f>SUBVENCION!I17+SUBVENCION!J17</f>
        <v>3654868</v>
      </c>
      <c r="I29" s="111"/>
      <c r="J29" s="51">
        <f>+J27+H29-I29</f>
        <v>4595144.6000000015</v>
      </c>
      <c r="K29" s="44" t="s">
        <v>69</v>
      </c>
      <c r="L29" s="97" t="s">
        <v>5</v>
      </c>
      <c r="M29" s="97" t="s">
        <v>214</v>
      </c>
      <c r="N29" s="97" t="s">
        <v>212</v>
      </c>
      <c r="O29" s="97" t="s">
        <v>213</v>
      </c>
      <c r="P29" s="97" t="s">
        <v>7</v>
      </c>
    </row>
    <row r="30" spans="1:16">
      <c r="B30" s="41"/>
      <c r="C30" s="42"/>
      <c r="D30" s="42"/>
      <c r="E30" s="42"/>
      <c r="F30" s="42" t="s">
        <v>199</v>
      </c>
      <c r="G30" s="42" t="s">
        <v>199</v>
      </c>
      <c r="H30" s="51"/>
      <c r="I30" s="51">
        <v>2526058</v>
      </c>
      <c r="J30" s="51">
        <f>+J29+H30-I30</f>
        <v>2069086.6000000015</v>
      </c>
      <c r="L30" s="37">
        <f>+H29</f>
        <v>3654868</v>
      </c>
      <c r="M30" s="51">
        <f>+L30*10%</f>
        <v>365486.80000000005</v>
      </c>
      <c r="N30" s="51">
        <f>+I30</f>
        <v>2526058</v>
      </c>
      <c r="O30" s="51">
        <f>I31+I32+I33+I34+I35+I36</f>
        <v>149420</v>
      </c>
      <c r="P30" s="303">
        <f>+L30-M30-N30-O30</f>
        <v>613903.20000000019</v>
      </c>
    </row>
    <row r="31" spans="1:16">
      <c r="B31" s="41">
        <v>46133</v>
      </c>
      <c r="C31" s="42">
        <v>10</v>
      </c>
      <c r="D31" s="42">
        <v>327</v>
      </c>
      <c r="E31" s="42">
        <v>745</v>
      </c>
      <c r="F31" s="42" t="s">
        <v>267</v>
      </c>
      <c r="G31" s="42" t="s">
        <v>240</v>
      </c>
      <c r="H31" s="51"/>
      <c r="I31" s="51">
        <v>149420</v>
      </c>
      <c r="J31" s="51">
        <f t="shared" ref="J31:J36" si="1">+J30+H31-I31</f>
        <v>1919666.6000000015</v>
      </c>
      <c r="L31" s="155"/>
      <c r="M31" s="156"/>
      <c r="N31" s="156"/>
      <c r="O31" s="156"/>
      <c r="P31" s="157"/>
    </row>
    <row r="32" spans="1:16">
      <c r="B32" s="41"/>
      <c r="C32" s="42"/>
      <c r="D32" s="42"/>
      <c r="E32" s="42"/>
      <c r="F32" s="42"/>
      <c r="G32" s="42"/>
      <c r="H32" s="51"/>
      <c r="I32" s="51"/>
      <c r="J32" s="51">
        <f t="shared" si="1"/>
        <v>1919666.6000000015</v>
      </c>
      <c r="L32" s="155"/>
      <c r="M32" s="156"/>
      <c r="N32" s="156"/>
      <c r="O32" s="156"/>
      <c r="P32" s="157"/>
    </row>
    <row r="33" spans="2:16">
      <c r="B33" s="41"/>
      <c r="C33" s="42"/>
      <c r="D33" s="42"/>
      <c r="E33" s="42"/>
      <c r="F33" s="42"/>
      <c r="G33" s="42"/>
      <c r="H33" s="51"/>
      <c r="I33" s="51"/>
      <c r="J33" s="51">
        <f t="shared" si="1"/>
        <v>1919666.6000000015</v>
      </c>
      <c r="L33" s="155"/>
      <c r="M33" s="156"/>
      <c r="N33" s="156"/>
      <c r="O33" s="156"/>
      <c r="P33" s="157"/>
    </row>
    <row r="34" spans="2:16">
      <c r="B34" s="41"/>
      <c r="C34" s="42"/>
      <c r="D34" s="151"/>
      <c r="E34" s="151"/>
      <c r="F34" s="151"/>
      <c r="G34" s="151"/>
      <c r="H34" s="214"/>
      <c r="I34" s="214"/>
      <c r="J34" s="51">
        <f t="shared" si="1"/>
        <v>1919666.6000000015</v>
      </c>
      <c r="L34" s="155"/>
      <c r="M34" s="156"/>
      <c r="N34" s="156"/>
      <c r="O34" s="156"/>
      <c r="P34" s="157"/>
    </row>
    <row r="35" spans="2:16">
      <c r="B35" s="41"/>
      <c r="C35" s="42"/>
      <c r="D35" s="42"/>
      <c r="E35" s="42"/>
      <c r="F35" s="42"/>
      <c r="G35" s="42"/>
      <c r="H35" s="51"/>
      <c r="I35" s="51"/>
      <c r="J35" s="51">
        <f t="shared" si="1"/>
        <v>1919666.6000000015</v>
      </c>
      <c r="L35" s="155"/>
      <c r="M35" s="156"/>
      <c r="N35" s="156"/>
      <c r="O35" s="156"/>
      <c r="P35" s="157"/>
    </row>
    <row r="36" spans="2:16">
      <c r="B36" s="41"/>
      <c r="C36" s="42"/>
      <c r="D36" s="42"/>
      <c r="E36" s="18"/>
      <c r="F36" s="42"/>
      <c r="G36" s="42"/>
      <c r="H36" s="51"/>
      <c r="I36" s="51"/>
      <c r="J36" s="51">
        <f t="shared" si="1"/>
        <v>1919666.6000000015</v>
      </c>
      <c r="L36" s="155"/>
      <c r="M36" s="156"/>
      <c r="N36" s="156"/>
      <c r="O36" s="156"/>
      <c r="P36" s="157"/>
    </row>
    <row r="37" spans="2:16">
      <c r="B37" s="324" t="s">
        <v>120</v>
      </c>
      <c r="C37" s="325"/>
      <c r="D37" s="325"/>
      <c r="E37" s="325"/>
      <c r="F37" s="325"/>
      <c r="G37" s="325"/>
      <c r="H37" s="325"/>
      <c r="I37" s="325"/>
      <c r="J37" s="326"/>
    </row>
    <row r="38" spans="2:16">
      <c r="B38" s="41"/>
      <c r="C38" s="42"/>
      <c r="D38" s="42"/>
      <c r="E38" s="42"/>
      <c r="F38" s="42" t="s">
        <v>171</v>
      </c>
      <c r="G38" s="42" t="s">
        <v>171</v>
      </c>
      <c r="H38" s="51">
        <f>SUBVENCION!K17+SUBVENCION!L17</f>
        <v>3665311</v>
      </c>
      <c r="I38" s="51"/>
      <c r="J38" s="51">
        <f>+J36+H38-I38</f>
        <v>5584977.6000000015</v>
      </c>
      <c r="K38" s="44" t="s">
        <v>120</v>
      </c>
      <c r="L38" s="97" t="s">
        <v>5</v>
      </c>
      <c r="M38" s="97" t="s">
        <v>214</v>
      </c>
      <c r="N38" s="97" t="s">
        <v>212</v>
      </c>
      <c r="O38" s="97" t="s">
        <v>213</v>
      </c>
      <c r="P38" s="97" t="s">
        <v>7</v>
      </c>
    </row>
    <row r="39" spans="2:16">
      <c r="B39" s="41"/>
      <c r="C39" s="42"/>
      <c r="D39" s="42"/>
      <c r="E39" s="42"/>
      <c r="F39" s="42" t="s">
        <v>199</v>
      </c>
      <c r="G39" s="42" t="s">
        <v>199</v>
      </c>
      <c r="H39" s="51"/>
      <c r="I39" s="150">
        <v>2552862</v>
      </c>
      <c r="J39" s="51">
        <f>+J38+H39-I39</f>
        <v>3032115.6000000015</v>
      </c>
      <c r="L39" s="37">
        <f>+H38</f>
        <v>3665311</v>
      </c>
      <c r="M39" s="51">
        <f>+L39*10%</f>
        <v>366531.10000000003</v>
      </c>
      <c r="N39" s="51">
        <f>+I39</f>
        <v>2552862</v>
      </c>
      <c r="O39" s="51">
        <f>I40</f>
        <v>211130</v>
      </c>
      <c r="P39" s="303">
        <f>+L39-M39-N39-O39</f>
        <v>534787.89999999991</v>
      </c>
    </row>
    <row r="40" spans="2:16">
      <c r="B40" s="41">
        <v>46162</v>
      </c>
      <c r="C40" s="42">
        <v>13</v>
      </c>
      <c r="D40" s="42">
        <v>467</v>
      </c>
      <c r="E40" s="42">
        <v>746</v>
      </c>
      <c r="F40" s="42" t="s">
        <v>239</v>
      </c>
      <c r="G40" s="42" t="s">
        <v>458</v>
      </c>
      <c r="H40" s="51"/>
      <c r="I40" s="150">
        <v>211130</v>
      </c>
      <c r="J40" s="51">
        <f t="shared" ref="J40:J41" si="2">+J39+H40-I40</f>
        <v>2820985.6000000015</v>
      </c>
      <c r="L40" s="155"/>
      <c r="M40" s="156"/>
      <c r="N40" s="156"/>
      <c r="O40" s="156"/>
      <c r="P40" s="157"/>
    </row>
    <row r="41" spans="2:16">
      <c r="B41" s="41">
        <v>46162</v>
      </c>
      <c r="C41" s="262">
        <v>12</v>
      </c>
      <c r="D41" s="262">
        <v>468</v>
      </c>
      <c r="E41" s="127" t="s">
        <v>367</v>
      </c>
      <c r="F41" s="127" t="s">
        <v>287</v>
      </c>
      <c r="G41" s="127" t="s">
        <v>287</v>
      </c>
      <c r="H41" s="127"/>
      <c r="I41" s="150">
        <v>0</v>
      </c>
      <c r="J41" s="51">
        <f t="shared" si="2"/>
        <v>2820985.6000000015</v>
      </c>
      <c r="L41" s="155"/>
      <c r="M41" s="156"/>
      <c r="N41" s="156"/>
      <c r="O41" s="156"/>
      <c r="P41" s="157"/>
    </row>
    <row r="42" spans="2:16">
      <c r="B42" s="323" t="s">
        <v>129</v>
      </c>
      <c r="C42" s="323"/>
      <c r="D42" s="323"/>
      <c r="E42" s="323"/>
      <c r="F42" s="323"/>
      <c r="G42" s="323"/>
      <c r="H42" s="323"/>
      <c r="I42" s="323"/>
      <c r="J42" s="323"/>
    </row>
    <row r="43" spans="2:16">
      <c r="B43" s="41"/>
      <c r="C43" s="42"/>
      <c r="D43" s="42"/>
      <c r="E43" s="42"/>
      <c r="F43" s="42" t="s">
        <v>171</v>
      </c>
      <c r="G43" s="42" t="s">
        <v>171</v>
      </c>
      <c r="H43" s="51">
        <f>SUBVENCION!M17+SUBVENCION!N17</f>
        <v>3891595</v>
      </c>
      <c r="I43" s="51"/>
      <c r="J43" s="51">
        <f>+J41+H43-I43</f>
        <v>6712580.6000000015</v>
      </c>
      <c r="K43" s="44" t="s">
        <v>129</v>
      </c>
      <c r="L43" s="97" t="s">
        <v>5</v>
      </c>
      <c r="M43" s="97" t="s">
        <v>214</v>
      </c>
      <c r="N43" s="97" t="s">
        <v>212</v>
      </c>
      <c r="O43" s="97" t="s">
        <v>213</v>
      </c>
      <c r="P43" s="97" t="s">
        <v>7</v>
      </c>
    </row>
    <row r="44" spans="2:16">
      <c r="B44" s="41"/>
      <c r="C44" s="42"/>
      <c r="D44" s="42"/>
      <c r="E44" s="42"/>
      <c r="F44" s="42" t="s">
        <v>199</v>
      </c>
      <c r="G44" s="42" t="s">
        <v>199</v>
      </c>
      <c r="H44" s="51"/>
      <c r="I44" s="51">
        <v>2595862</v>
      </c>
      <c r="J44" s="51">
        <f>+J43+H44-I44</f>
        <v>4116718.6000000015</v>
      </c>
      <c r="L44" s="37">
        <f>+H43</f>
        <v>3891595</v>
      </c>
      <c r="M44" s="51">
        <f>+L44*10%</f>
        <v>389159.5</v>
      </c>
      <c r="N44" s="51">
        <f>+I44</f>
        <v>2595862</v>
      </c>
      <c r="O44" s="51">
        <f>I45+I46+I47+I48+I49+I50</f>
        <v>1033387</v>
      </c>
      <c r="P44" s="187">
        <f>+L44-M44-N44-O44</f>
        <v>-126813.5</v>
      </c>
    </row>
    <row r="45" spans="2:16">
      <c r="B45" s="41">
        <v>46174</v>
      </c>
      <c r="C45" s="42">
        <v>15</v>
      </c>
      <c r="D45" s="42">
        <v>508</v>
      </c>
      <c r="E45" s="42">
        <v>840</v>
      </c>
      <c r="F45" s="127" t="s">
        <v>287</v>
      </c>
      <c r="G45" s="127" t="s">
        <v>287</v>
      </c>
      <c r="H45" s="51"/>
      <c r="I45" s="51">
        <v>129990</v>
      </c>
      <c r="J45" s="51">
        <f t="shared" ref="J45:J50" si="3">+J44+H45-I45</f>
        <v>3986728.6000000015</v>
      </c>
    </row>
    <row r="46" spans="2:16">
      <c r="B46" s="41">
        <v>46171</v>
      </c>
      <c r="C46" s="42">
        <v>14</v>
      </c>
      <c r="D46" s="42">
        <v>518</v>
      </c>
      <c r="E46" s="42">
        <v>989</v>
      </c>
      <c r="F46" s="42" t="s">
        <v>267</v>
      </c>
      <c r="G46" s="42" t="s">
        <v>240</v>
      </c>
      <c r="H46" s="51"/>
      <c r="I46" s="51">
        <v>207948</v>
      </c>
      <c r="J46" s="51">
        <f t="shared" si="3"/>
        <v>3778780.6000000015</v>
      </c>
    </row>
    <row r="47" spans="2:16">
      <c r="B47" s="41">
        <v>46175</v>
      </c>
      <c r="C47" s="42">
        <v>16</v>
      </c>
      <c r="D47" s="42">
        <v>519</v>
      </c>
      <c r="E47" s="42">
        <v>833</v>
      </c>
      <c r="F47" s="127" t="s">
        <v>278</v>
      </c>
      <c r="G47" s="127" t="s">
        <v>271</v>
      </c>
      <c r="H47" s="51"/>
      <c r="I47" s="51">
        <v>204550</v>
      </c>
      <c r="J47" s="51">
        <f t="shared" si="3"/>
        <v>3574230.6000000015</v>
      </c>
    </row>
    <row r="48" spans="2:16">
      <c r="B48" s="41">
        <v>46177</v>
      </c>
      <c r="C48" s="42">
        <v>17</v>
      </c>
      <c r="D48" s="42">
        <v>538</v>
      </c>
      <c r="E48" s="42" t="s">
        <v>223</v>
      </c>
      <c r="F48" s="42" t="s">
        <v>267</v>
      </c>
      <c r="G48" s="42" t="s">
        <v>240</v>
      </c>
      <c r="H48" s="51"/>
      <c r="I48" s="51">
        <v>214000</v>
      </c>
      <c r="J48" s="51">
        <f t="shared" si="3"/>
        <v>3360230.6000000015</v>
      </c>
    </row>
    <row r="49" spans="2:16">
      <c r="B49" s="41">
        <v>46185</v>
      </c>
      <c r="C49" s="42">
        <v>18</v>
      </c>
      <c r="D49" s="42">
        <v>581</v>
      </c>
      <c r="E49" s="42">
        <v>950</v>
      </c>
      <c r="F49" s="42" t="s">
        <v>267</v>
      </c>
      <c r="G49" s="42" t="s">
        <v>240</v>
      </c>
      <c r="H49" s="51"/>
      <c r="I49" s="51">
        <v>206999</v>
      </c>
      <c r="J49" s="51">
        <f t="shared" si="3"/>
        <v>3153231.6000000015</v>
      </c>
    </row>
    <row r="50" spans="2:16">
      <c r="B50" s="41">
        <v>46188</v>
      </c>
      <c r="C50" s="42">
        <v>19</v>
      </c>
      <c r="D50" s="42">
        <v>593</v>
      </c>
      <c r="E50" s="42">
        <v>963</v>
      </c>
      <c r="F50" s="127" t="s">
        <v>278</v>
      </c>
      <c r="G50" s="42" t="s">
        <v>497</v>
      </c>
      <c r="H50" s="51"/>
      <c r="I50" s="51">
        <v>69900</v>
      </c>
      <c r="J50" s="51">
        <f t="shared" si="3"/>
        <v>3083331.6000000015</v>
      </c>
    </row>
    <row r="51" spans="2:16">
      <c r="B51" s="324" t="s">
        <v>65</v>
      </c>
      <c r="C51" s="325"/>
      <c r="D51" s="325"/>
      <c r="E51" s="325"/>
      <c r="F51" s="325"/>
      <c r="G51" s="325"/>
      <c r="H51" s="325"/>
      <c r="I51" s="325"/>
      <c r="J51" s="326"/>
    </row>
    <row r="52" spans="2:16">
      <c r="B52" s="41"/>
      <c r="C52" s="42"/>
      <c r="D52" s="42"/>
      <c r="E52" s="42"/>
      <c r="F52" s="42" t="s">
        <v>171</v>
      </c>
      <c r="G52" s="42" t="s">
        <v>171</v>
      </c>
      <c r="H52" s="51">
        <f>+SUBVENCION!O17+SUBVENCION!P17</f>
        <v>3677841</v>
      </c>
      <c r="I52" s="51"/>
      <c r="J52" s="51">
        <f>+J50+H52-I52</f>
        <v>6761172.6000000015</v>
      </c>
      <c r="K52" s="44" t="s">
        <v>65</v>
      </c>
      <c r="L52" s="97" t="s">
        <v>5</v>
      </c>
      <c r="M52" s="97" t="s">
        <v>214</v>
      </c>
      <c r="N52" s="97" t="s">
        <v>212</v>
      </c>
      <c r="O52" s="97" t="s">
        <v>213</v>
      </c>
      <c r="P52" s="97" t="s">
        <v>7</v>
      </c>
    </row>
    <row r="53" spans="2:16">
      <c r="B53" s="41"/>
      <c r="C53" s="42"/>
      <c r="D53" s="42"/>
      <c r="E53" s="42"/>
      <c r="F53" s="42" t="s">
        <v>199</v>
      </c>
      <c r="G53" s="42" t="s">
        <v>199</v>
      </c>
      <c r="H53" s="51"/>
      <c r="I53" s="51">
        <v>2540901</v>
      </c>
      <c r="J53" s="51">
        <f>+J52+H53-I53</f>
        <v>4220271.6000000015</v>
      </c>
      <c r="L53" s="37">
        <f>+H52</f>
        <v>3677841</v>
      </c>
      <c r="M53" s="51">
        <f>+L53*10%</f>
        <v>367784.10000000003</v>
      </c>
      <c r="N53" s="51">
        <f>+I53</f>
        <v>2540901</v>
      </c>
      <c r="O53" s="51">
        <f>I59+I58+I57+I56+I55+I54</f>
        <v>1092870</v>
      </c>
      <c r="P53" s="303">
        <f>+L53-M53-N53-O53</f>
        <v>-323714.10000000009</v>
      </c>
    </row>
    <row r="54" spans="2:16">
      <c r="B54" s="41">
        <v>46211</v>
      </c>
      <c r="C54" s="42" t="s">
        <v>520</v>
      </c>
      <c r="D54" s="42" t="s">
        <v>521</v>
      </c>
      <c r="E54" s="42">
        <v>1155</v>
      </c>
      <c r="F54" s="42" t="s">
        <v>250</v>
      </c>
      <c r="G54" s="42" t="s">
        <v>522</v>
      </c>
      <c r="H54" s="51"/>
      <c r="I54" s="51">
        <f>154724+59245</f>
        <v>213969</v>
      </c>
      <c r="J54" s="51">
        <f t="shared" ref="J54:J59" si="4">+J53+H54-I54</f>
        <v>4006302.6000000015</v>
      </c>
      <c r="L54" s="155"/>
      <c r="M54" s="156"/>
      <c r="N54" s="156"/>
      <c r="O54" s="156"/>
      <c r="P54" s="157"/>
    </row>
    <row r="55" spans="2:16">
      <c r="B55" s="41">
        <v>46218</v>
      </c>
      <c r="C55" s="42">
        <v>22</v>
      </c>
      <c r="D55" s="42">
        <v>658</v>
      </c>
      <c r="E55" s="42">
        <v>1258</v>
      </c>
      <c r="F55" s="42" t="s">
        <v>250</v>
      </c>
      <c r="G55" s="42" t="s">
        <v>537</v>
      </c>
      <c r="H55" s="51"/>
      <c r="I55" s="51">
        <v>208130</v>
      </c>
      <c r="J55" s="51">
        <f t="shared" si="4"/>
        <v>3798172.6000000015</v>
      </c>
      <c r="L55" s="155"/>
      <c r="M55" s="156"/>
      <c r="N55" s="156"/>
      <c r="O55" s="156"/>
      <c r="P55" s="157"/>
    </row>
    <row r="56" spans="2:16">
      <c r="B56" s="41">
        <v>46225</v>
      </c>
      <c r="C56" s="42">
        <v>25</v>
      </c>
      <c r="D56" s="42">
        <v>681</v>
      </c>
      <c r="E56" s="42">
        <v>1148</v>
      </c>
      <c r="F56" s="42" t="s">
        <v>278</v>
      </c>
      <c r="G56" s="42" t="s">
        <v>281</v>
      </c>
      <c r="H56" s="51"/>
      <c r="I56" s="51">
        <v>144990</v>
      </c>
      <c r="J56" s="51">
        <f t="shared" si="4"/>
        <v>3653182.6000000015</v>
      </c>
      <c r="L56" s="155"/>
      <c r="M56" s="156"/>
      <c r="N56" s="156"/>
      <c r="O56" s="156"/>
      <c r="P56" s="157"/>
    </row>
    <row r="57" spans="2:16">
      <c r="B57" s="41">
        <v>46224</v>
      </c>
      <c r="C57" s="42">
        <v>24</v>
      </c>
      <c r="D57" s="42">
        <v>680</v>
      </c>
      <c r="E57" s="42">
        <v>1154</v>
      </c>
      <c r="F57" s="42" t="s">
        <v>250</v>
      </c>
      <c r="G57" s="42" t="s">
        <v>553</v>
      </c>
      <c r="H57" s="51"/>
      <c r="I57" s="51">
        <v>211301</v>
      </c>
      <c r="J57" s="51">
        <f t="shared" si="4"/>
        <v>3441881.6000000015</v>
      </c>
      <c r="L57" s="155"/>
      <c r="M57" s="156"/>
      <c r="N57" s="156"/>
      <c r="O57" s="156"/>
      <c r="P57" s="157"/>
    </row>
    <row r="58" spans="2:16">
      <c r="B58" s="41">
        <v>46224</v>
      </c>
      <c r="C58" s="42">
        <v>23</v>
      </c>
      <c r="D58" s="42">
        <v>679</v>
      </c>
      <c r="E58" s="42">
        <v>1161</v>
      </c>
      <c r="F58" s="42" t="s">
        <v>250</v>
      </c>
      <c r="G58" s="42" t="s">
        <v>458</v>
      </c>
      <c r="H58" s="51"/>
      <c r="I58" s="51">
        <v>214480</v>
      </c>
      <c r="J58" s="51">
        <f t="shared" si="4"/>
        <v>3227401.6000000015</v>
      </c>
      <c r="L58" s="155"/>
      <c r="M58" s="156"/>
      <c r="N58" s="156"/>
      <c r="O58" s="156"/>
      <c r="P58" s="157"/>
    </row>
    <row r="59" spans="2:16">
      <c r="B59" s="41">
        <v>46230</v>
      </c>
      <c r="C59" s="42">
        <v>26</v>
      </c>
      <c r="D59" s="42">
        <v>721</v>
      </c>
      <c r="E59" s="42">
        <v>1304</v>
      </c>
      <c r="F59" s="42" t="s">
        <v>449</v>
      </c>
      <c r="G59" s="42" t="s">
        <v>571</v>
      </c>
      <c r="H59" s="51"/>
      <c r="I59" s="51">
        <v>100000</v>
      </c>
      <c r="J59" s="51">
        <f t="shared" si="4"/>
        <v>3127401.6000000015</v>
      </c>
      <c r="L59" s="155"/>
      <c r="M59" s="156"/>
      <c r="N59" s="156"/>
      <c r="O59" s="156"/>
      <c r="P59" s="157"/>
    </row>
    <row r="60" spans="2:16">
      <c r="B60" s="320" t="s">
        <v>130</v>
      </c>
      <c r="C60" s="321"/>
      <c r="D60" s="321"/>
      <c r="E60" s="321"/>
      <c r="F60" s="321"/>
      <c r="G60" s="321"/>
      <c r="H60" s="321"/>
      <c r="I60" s="321"/>
      <c r="J60" s="322"/>
    </row>
    <row r="61" spans="2:16">
      <c r="B61" s="41"/>
      <c r="C61" s="42"/>
      <c r="D61" s="42"/>
      <c r="E61" s="42"/>
      <c r="F61" s="42" t="s">
        <v>171</v>
      </c>
      <c r="G61" s="42" t="s">
        <v>171</v>
      </c>
      <c r="H61" s="37">
        <f>+SUBVENCION!Q17+SUBVENCION!R17</f>
        <v>3615045</v>
      </c>
      <c r="I61" s="37"/>
      <c r="J61" s="43">
        <f>+J59+H61-I61</f>
        <v>6742446.6000000015</v>
      </c>
      <c r="K61" s="44" t="s">
        <v>130</v>
      </c>
      <c r="L61" s="97" t="s">
        <v>5</v>
      </c>
      <c r="M61" s="97" t="s">
        <v>214</v>
      </c>
      <c r="N61" s="97" t="s">
        <v>212</v>
      </c>
      <c r="O61" s="97" t="s">
        <v>213</v>
      </c>
      <c r="P61" s="97" t="s">
        <v>7</v>
      </c>
    </row>
    <row r="62" spans="2:16">
      <c r="B62" s="41"/>
      <c r="C62" s="42"/>
      <c r="D62" s="42"/>
      <c r="E62" s="42"/>
      <c r="F62" s="42" t="s">
        <v>199</v>
      </c>
      <c r="G62" s="42" t="s">
        <v>199</v>
      </c>
      <c r="H62" s="37"/>
      <c r="I62" s="37">
        <v>2550953</v>
      </c>
      <c r="J62" s="43">
        <f>+J61+H62-I62</f>
        <v>4191493.6000000015</v>
      </c>
      <c r="L62" s="37">
        <f>+H61</f>
        <v>3615045</v>
      </c>
      <c r="M62" s="51">
        <f>+L62*10%</f>
        <v>361504.5</v>
      </c>
      <c r="N62" s="51">
        <f>+I62</f>
        <v>2550953</v>
      </c>
      <c r="O62" s="51">
        <f>I66+I65+I64+I63</f>
        <v>471570</v>
      </c>
      <c r="P62" s="303">
        <f>+L62-M62-N62-O62</f>
        <v>231017.5</v>
      </c>
    </row>
    <row r="63" spans="2:16">
      <c r="B63" s="41">
        <v>46239</v>
      </c>
      <c r="C63" s="42">
        <v>27</v>
      </c>
      <c r="D63" s="42">
        <v>756</v>
      </c>
      <c r="E63" s="42">
        <v>1316</v>
      </c>
      <c r="F63" s="42" t="s">
        <v>309</v>
      </c>
      <c r="G63" s="42" t="s">
        <v>607</v>
      </c>
      <c r="H63" s="37"/>
      <c r="I63" s="37">
        <v>136850</v>
      </c>
      <c r="J63" s="43">
        <f>+J62+H63-I63</f>
        <v>4054643.6000000015</v>
      </c>
      <c r="L63" s="155"/>
      <c r="M63" s="156"/>
      <c r="N63" s="156"/>
      <c r="O63" s="156"/>
      <c r="P63" s="157"/>
    </row>
    <row r="64" spans="2:16">
      <c r="B64" s="41">
        <v>46248</v>
      </c>
      <c r="C64" s="42">
        <v>30</v>
      </c>
      <c r="D64" s="42">
        <v>810</v>
      </c>
      <c r="E64" s="42">
        <v>1317</v>
      </c>
      <c r="F64" s="42" t="s">
        <v>250</v>
      </c>
      <c r="G64" s="42" t="s">
        <v>458</v>
      </c>
      <c r="H64" s="37"/>
      <c r="I64" s="37">
        <v>214720</v>
      </c>
      <c r="J64" s="43">
        <f>+J63+H64-I64</f>
        <v>3839923.6000000015</v>
      </c>
      <c r="L64" s="155"/>
      <c r="M64" s="156"/>
      <c r="N64" s="156"/>
      <c r="O64" s="156"/>
      <c r="P64" s="157"/>
    </row>
    <row r="65" spans="1:16">
      <c r="B65" s="41">
        <v>46251</v>
      </c>
      <c r="C65" s="42">
        <v>31</v>
      </c>
      <c r="D65" s="42">
        <v>816</v>
      </c>
      <c r="E65" s="42">
        <v>1389</v>
      </c>
      <c r="F65" s="42" t="s">
        <v>449</v>
      </c>
      <c r="G65" s="42" t="s">
        <v>245</v>
      </c>
      <c r="H65" s="37"/>
      <c r="I65" s="37">
        <v>120000</v>
      </c>
      <c r="J65" s="43">
        <f>+J64+H65-I65</f>
        <v>3719923.6000000015</v>
      </c>
      <c r="L65" s="155"/>
      <c r="M65" s="156"/>
      <c r="N65" s="156"/>
      <c r="O65" s="156"/>
      <c r="P65" s="157"/>
    </row>
    <row r="66" spans="1:16" ht="10.5" customHeight="1">
      <c r="B66" s="41"/>
      <c r="C66" s="42"/>
      <c r="D66" s="42"/>
      <c r="E66" s="42"/>
      <c r="F66" s="42"/>
      <c r="G66" s="45"/>
      <c r="H66" s="37"/>
      <c r="I66" s="37"/>
      <c r="J66" s="43">
        <f>+J65+H66-I66</f>
        <v>3719923.6000000015</v>
      </c>
    </row>
    <row r="67" spans="1:16">
      <c r="B67" s="320" t="s">
        <v>131</v>
      </c>
      <c r="C67" s="321"/>
      <c r="D67" s="321"/>
      <c r="E67" s="321"/>
      <c r="F67" s="321"/>
      <c r="G67" s="321"/>
      <c r="H67" s="321"/>
      <c r="I67" s="321"/>
      <c r="J67" s="322"/>
    </row>
    <row r="68" spans="1:16">
      <c r="B68" s="41"/>
      <c r="C68" s="42"/>
      <c r="D68" s="42"/>
      <c r="E68" s="42"/>
      <c r="F68" s="42" t="s">
        <v>171</v>
      </c>
      <c r="G68" s="42" t="s">
        <v>171</v>
      </c>
      <c r="H68" s="51">
        <f>+SUBVENCION!S17+SUBVENCION!T17</f>
        <v>3652710</v>
      </c>
      <c r="I68" s="51"/>
      <c r="J68" s="43">
        <f>+J66+H68-I68</f>
        <v>7372633.6000000015</v>
      </c>
      <c r="K68" s="44" t="s">
        <v>131</v>
      </c>
      <c r="L68" s="97" t="s">
        <v>5</v>
      </c>
      <c r="M68" s="97" t="s">
        <v>214</v>
      </c>
      <c r="N68" s="97" t="s">
        <v>212</v>
      </c>
      <c r="O68" s="97" t="s">
        <v>213</v>
      </c>
      <c r="P68" s="97" t="s">
        <v>7</v>
      </c>
    </row>
    <row r="69" spans="1:16">
      <c r="B69" s="41"/>
      <c r="C69" s="42"/>
      <c r="D69" s="42"/>
      <c r="E69" s="42"/>
      <c r="F69" s="42" t="s">
        <v>199</v>
      </c>
      <c r="G69" s="42" t="s">
        <v>199</v>
      </c>
      <c r="H69" s="51"/>
      <c r="I69" s="37">
        <v>2551386</v>
      </c>
      <c r="J69" s="43">
        <f t="shared" ref="J69:J109" si="5">+J68+H69-I69</f>
        <v>4821247.6000000015</v>
      </c>
      <c r="L69" s="37">
        <f>+H68</f>
        <v>3652710</v>
      </c>
      <c r="M69" s="51">
        <f>+L69*10%</f>
        <v>365271</v>
      </c>
      <c r="N69" s="51">
        <f>+I69</f>
        <v>2551386</v>
      </c>
      <c r="O69" s="51">
        <f>SUM(I70:I72)</f>
        <v>611000</v>
      </c>
      <c r="P69" s="303">
        <f>+L69-M69-N69-O69</f>
        <v>125053</v>
      </c>
    </row>
    <row r="70" spans="1:16">
      <c r="B70" s="41">
        <v>46293</v>
      </c>
      <c r="C70" s="42">
        <v>34</v>
      </c>
      <c r="D70" s="42">
        <v>1028</v>
      </c>
      <c r="E70" s="42" t="s">
        <v>701</v>
      </c>
      <c r="F70" s="42" t="s">
        <v>613</v>
      </c>
      <c r="G70" s="45" t="s">
        <v>613</v>
      </c>
      <c r="H70" s="51"/>
      <c r="I70" s="37">
        <v>215000</v>
      </c>
      <c r="J70" s="43">
        <f t="shared" si="5"/>
        <v>4606247.6000000015</v>
      </c>
    </row>
    <row r="71" spans="1:16">
      <c r="B71" s="41">
        <v>46293</v>
      </c>
      <c r="C71" s="42">
        <v>35</v>
      </c>
      <c r="D71" s="42">
        <v>1023</v>
      </c>
      <c r="E71" s="79"/>
      <c r="F71" s="42" t="s">
        <v>250</v>
      </c>
      <c r="G71" s="45" t="s">
        <v>771</v>
      </c>
      <c r="H71" s="51"/>
      <c r="I71" s="37">
        <v>181000</v>
      </c>
      <c r="J71" s="43">
        <f t="shared" si="5"/>
        <v>4425247.6000000015</v>
      </c>
    </row>
    <row r="72" spans="1:16">
      <c r="B72" s="41">
        <v>46293</v>
      </c>
      <c r="C72" s="42">
        <v>33</v>
      </c>
      <c r="D72" s="42">
        <v>1024</v>
      </c>
      <c r="E72" s="42" t="s">
        <v>701</v>
      </c>
      <c r="F72" s="42" t="s">
        <v>250</v>
      </c>
      <c r="G72" s="45" t="s">
        <v>250</v>
      </c>
      <c r="H72" s="51"/>
      <c r="I72" s="37">
        <v>215000</v>
      </c>
      <c r="J72" s="43">
        <f t="shared" si="5"/>
        <v>4210247.6000000015</v>
      </c>
    </row>
    <row r="73" spans="1:16">
      <c r="B73" s="41"/>
      <c r="C73" s="42"/>
      <c r="D73" s="42"/>
      <c r="E73" s="42"/>
      <c r="F73" s="42"/>
      <c r="G73" s="45"/>
      <c r="H73" s="51"/>
      <c r="I73" s="37"/>
      <c r="J73" s="43">
        <f t="shared" si="5"/>
        <v>4210247.6000000015</v>
      </c>
    </row>
    <row r="74" spans="1:16">
      <c r="B74" s="320" t="s">
        <v>132</v>
      </c>
      <c r="C74" s="321"/>
      <c r="D74" s="321"/>
      <c r="E74" s="321"/>
      <c r="F74" s="321"/>
      <c r="G74" s="321"/>
      <c r="H74" s="321"/>
      <c r="I74" s="321"/>
      <c r="J74" s="322"/>
    </row>
    <row r="75" spans="1:16">
      <c r="A75" s="35"/>
      <c r="B75" s="41"/>
      <c r="C75" s="42"/>
      <c r="D75" s="42"/>
      <c r="E75" s="42"/>
      <c r="F75" s="42" t="s">
        <v>171</v>
      </c>
      <c r="G75" s="42" t="s">
        <v>171</v>
      </c>
      <c r="H75" s="150">
        <f>+SUBVENCION!U17+SUBVENCION!V17</f>
        <v>0</v>
      </c>
      <c r="I75" s="150"/>
      <c r="J75" s="43">
        <f>+J73+H75-I75</f>
        <v>4210247.6000000015</v>
      </c>
      <c r="K75" s="44" t="s">
        <v>132</v>
      </c>
      <c r="L75" s="97" t="s">
        <v>5</v>
      </c>
      <c r="M75" s="97" t="s">
        <v>214</v>
      </c>
      <c r="N75" s="97" t="s">
        <v>212</v>
      </c>
      <c r="O75" s="97" t="s">
        <v>213</v>
      </c>
      <c r="P75" s="97" t="s">
        <v>7</v>
      </c>
    </row>
    <row r="76" spans="1:16">
      <c r="A76" s="35"/>
      <c r="B76" s="41"/>
      <c r="C76" s="42"/>
      <c r="D76" s="42"/>
      <c r="E76" s="42"/>
      <c r="F76" s="42" t="s">
        <v>199</v>
      </c>
      <c r="G76" s="42" t="s">
        <v>199</v>
      </c>
      <c r="H76" s="150"/>
      <c r="I76" s="12"/>
      <c r="J76" s="43">
        <f t="shared" si="5"/>
        <v>4210247.6000000015</v>
      </c>
      <c r="L76" s="37">
        <f>+H75</f>
        <v>0</v>
      </c>
      <c r="M76" s="51">
        <f>+L76*10%</f>
        <v>0</v>
      </c>
      <c r="N76" s="51">
        <f>+I76</f>
        <v>0</v>
      </c>
      <c r="O76" s="51">
        <v>0</v>
      </c>
      <c r="P76" s="303">
        <f>+L76-M76-N76-O76</f>
        <v>0</v>
      </c>
    </row>
    <row r="77" spans="1:16">
      <c r="A77" s="35"/>
      <c r="B77" s="41"/>
      <c r="C77" s="42"/>
      <c r="D77" s="42"/>
      <c r="E77" s="42"/>
      <c r="F77" s="42"/>
      <c r="G77" s="42"/>
      <c r="H77" s="150"/>
      <c r="I77" s="12"/>
      <c r="J77" s="43">
        <f t="shared" si="5"/>
        <v>4210247.6000000015</v>
      </c>
      <c r="L77" s="155"/>
      <c r="M77" s="156"/>
      <c r="N77" s="156"/>
      <c r="O77" s="156"/>
      <c r="P77" s="157"/>
    </row>
    <row r="78" spans="1:16">
      <c r="A78" s="35"/>
      <c r="B78" s="41"/>
      <c r="C78" s="42"/>
      <c r="D78" s="42"/>
      <c r="E78" s="42"/>
      <c r="F78" s="42"/>
      <c r="G78" s="42"/>
      <c r="H78" s="150"/>
      <c r="I78" s="12"/>
      <c r="J78" s="43">
        <f t="shared" si="5"/>
        <v>4210247.6000000015</v>
      </c>
      <c r="L78" s="155"/>
      <c r="M78" s="156"/>
      <c r="N78" s="156"/>
      <c r="O78" s="156"/>
      <c r="P78" s="157"/>
    </row>
    <row r="79" spans="1:16">
      <c r="A79" s="35"/>
      <c r="B79" s="41"/>
      <c r="C79" s="42"/>
      <c r="D79" s="42"/>
      <c r="E79" s="42"/>
      <c r="F79" s="42"/>
      <c r="G79" s="42"/>
      <c r="H79" s="51"/>
      <c r="I79" s="37"/>
      <c r="J79" s="43">
        <f t="shared" si="5"/>
        <v>4210247.6000000015</v>
      </c>
      <c r="L79" s="155"/>
      <c r="M79" s="156"/>
      <c r="N79" s="156"/>
      <c r="O79" s="156"/>
      <c r="P79" s="157"/>
    </row>
    <row r="80" spans="1:16">
      <c r="A80" s="35"/>
      <c r="B80" s="41"/>
      <c r="C80" s="42"/>
      <c r="D80" s="42"/>
      <c r="E80" s="42"/>
      <c r="F80" s="42"/>
      <c r="G80" s="42"/>
      <c r="H80" s="51"/>
      <c r="I80" s="37"/>
      <c r="J80" s="43">
        <f t="shared" si="5"/>
        <v>4210247.6000000015</v>
      </c>
      <c r="L80" s="155"/>
      <c r="M80" s="156"/>
      <c r="N80" s="156"/>
      <c r="O80" s="156"/>
      <c r="P80" s="157"/>
    </row>
    <row r="81" spans="1:16">
      <c r="A81" s="35"/>
      <c r="B81" s="41"/>
      <c r="C81" s="42"/>
      <c r="D81" s="42"/>
      <c r="E81" s="42"/>
      <c r="F81" s="42"/>
      <c r="G81" s="42"/>
      <c r="H81" s="51"/>
      <c r="I81" s="37"/>
      <c r="J81" s="43">
        <f t="shared" si="5"/>
        <v>4210247.6000000015</v>
      </c>
      <c r="L81" s="155"/>
      <c r="M81" s="156"/>
      <c r="N81" s="156"/>
      <c r="O81" s="156"/>
      <c r="P81" s="157"/>
    </row>
    <row r="82" spans="1:16">
      <c r="A82" s="35"/>
      <c r="B82" s="41"/>
      <c r="C82" s="42"/>
      <c r="D82" s="42"/>
      <c r="E82" s="42"/>
      <c r="F82" s="42"/>
      <c r="G82" s="42"/>
      <c r="H82" s="51"/>
      <c r="I82" s="37"/>
      <c r="J82" s="43">
        <f t="shared" si="5"/>
        <v>4210247.6000000015</v>
      </c>
      <c r="L82" s="155"/>
      <c r="M82" s="156"/>
      <c r="N82" s="156"/>
      <c r="O82" s="156"/>
      <c r="P82" s="157"/>
    </row>
    <row r="83" spans="1:16">
      <c r="A83" s="35"/>
      <c r="B83" s="41"/>
      <c r="C83" s="42"/>
      <c r="D83" s="42"/>
      <c r="E83" s="42"/>
      <c r="F83" s="42"/>
      <c r="G83" s="42"/>
      <c r="H83" s="51"/>
      <c r="I83" s="37"/>
      <c r="J83" s="43">
        <f t="shared" si="5"/>
        <v>4210247.6000000015</v>
      </c>
      <c r="L83" s="155"/>
      <c r="M83" s="156"/>
      <c r="N83" s="156"/>
      <c r="O83" s="156"/>
      <c r="P83" s="157"/>
    </row>
    <row r="84" spans="1:16">
      <c r="A84" s="35"/>
      <c r="B84" s="41"/>
      <c r="C84" s="42"/>
      <c r="D84" s="42"/>
      <c r="E84" s="42"/>
      <c r="F84" s="42"/>
      <c r="G84" s="42"/>
      <c r="H84" s="51"/>
      <c r="I84" s="37"/>
      <c r="J84" s="43">
        <f t="shared" si="5"/>
        <v>4210247.6000000015</v>
      </c>
      <c r="L84" s="155"/>
      <c r="M84" s="156"/>
      <c r="N84" s="156"/>
      <c r="O84" s="156"/>
      <c r="P84" s="157"/>
    </row>
    <row r="85" spans="1:16">
      <c r="A85" s="35"/>
      <c r="B85" s="41"/>
      <c r="C85" s="42"/>
      <c r="D85" s="42"/>
      <c r="E85" s="42"/>
      <c r="F85" s="42"/>
      <c r="G85" s="42"/>
      <c r="H85" s="51"/>
      <c r="I85" s="37"/>
      <c r="J85" s="43">
        <f t="shared" si="5"/>
        <v>4210247.6000000015</v>
      </c>
      <c r="L85" s="155"/>
      <c r="M85" s="156"/>
      <c r="N85" s="156"/>
      <c r="O85" s="156"/>
      <c r="P85" s="157"/>
    </row>
    <row r="86" spans="1:16">
      <c r="A86" s="35"/>
      <c r="B86" s="41"/>
      <c r="C86" s="42"/>
      <c r="D86" s="42"/>
      <c r="E86" s="42"/>
      <c r="F86" s="42"/>
      <c r="G86" s="42"/>
      <c r="H86" s="51"/>
      <c r="I86" s="37"/>
      <c r="J86" s="43">
        <f t="shared" si="5"/>
        <v>4210247.6000000015</v>
      </c>
      <c r="L86" s="155"/>
      <c r="M86" s="156"/>
      <c r="N86" s="156"/>
      <c r="O86" s="156"/>
      <c r="P86" s="157"/>
    </row>
    <row r="87" spans="1:16">
      <c r="A87" s="35"/>
      <c r="B87" s="320" t="s">
        <v>133</v>
      </c>
      <c r="C87" s="321"/>
      <c r="D87" s="321"/>
      <c r="E87" s="321"/>
      <c r="F87" s="321"/>
      <c r="G87" s="321"/>
      <c r="H87" s="321"/>
      <c r="I87" s="321"/>
      <c r="J87" s="322"/>
    </row>
    <row r="88" spans="1:16">
      <c r="A88" s="35"/>
      <c r="B88" s="41"/>
      <c r="C88" s="42"/>
      <c r="D88" s="42"/>
      <c r="E88" s="42"/>
      <c r="F88" s="42" t="s">
        <v>171</v>
      </c>
      <c r="G88" s="42" t="s">
        <v>171</v>
      </c>
      <c r="H88" s="51">
        <f>+SUBVENCION!W17+SUBVENCION!X17</f>
        <v>0</v>
      </c>
      <c r="I88" s="51"/>
      <c r="J88" s="43">
        <f>+J86+H88-I88</f>
        <v>4210247.6000000015</v>
      </c>
      <c r="K88" s="44" t="s">
        <v>133</v>
      </c>
      <c r="L88" s="97" t="s">
        <v>5</v>
      </c>
      <c r="M88" s="97" t="s">
        <v>214</v>
      </c>
      <c r="N88" s="97" t="s">
        <v>212</v>
      </c>
      <c r="O88" s="97" t="s">
        <v>213</v>
      </c>
      <c r="P88" s="97" t="s">
        <v>7</v>
      </c>
    </row>
    <row r="89" spans="1:16">
      <c r="A89" s="35"/>
      <c r="B89" s="41"/>
      <c r="C89" s="42"/>
      <c r="D89" s="42"/>
      <c r="E89" s="42"/>
      <c r="F89" s="42" t="s">
        <v>199</v>
      </c>
      <c r="G89" s="42" t="s">
        <v>199</v>
      </c>
      <c r="H89" s="51"/>
      <c r="I89" s="51"/>
      <c r="J89" s="43">
        <f>+J88+H89-I89</f>
        <v>4210247.6000000015</v>
      </c>
      <c r="L89" s="37">
        <f>+H88</f>
        <v>0</v>
      </c>
      <c r="M89" s="51">
        <f>+L89*10%</f>
        <v>0</v>
      </c>
      <c r="N89" s="51">
        <f>+I89</f>
        <v>0</v>
      </c>
      <c r="O89" s="51">
        <f>+I90+I91+I92+I93+I94+I99</f>
        <v>0</v>
      </c>
      <c r="P89" s="153">
        <f>+L89-M89-N89-O89</f>
        <v>0</v>
      </c>
    </row>
    <row r="90" spans="1:16">
      <c r="A90" s="35"/>
      <c r="B90" s="41"/>
      <c r="C90" s="42"/>
      <c r="D90" s="42"/>
      <c r="E90" s="42"/>
      <c r="F90" s="42"/>
      <c r="G90" s="42"/>
      <c r="H90" s="51"/>
      <c r="I90" s="37"/>
      <c r="J90" s="43">
        <f t="shared" ref="J90:J100" si="6">+J89+H90-I90</f>
        <v>4210247.6000000015</v>
      </c>
    </row>
    <row r="91" spans="1:16">
      <c r="A91" s="35"/>
      <c r="B91" s="41"/>
      <c r="C91" s="42"/>
      <c r="D91" s="42"/>
      <c r="E91" s="42"/>
      <c r="F91" s="42"/>
      <c r="G91" s="45"/>
      <c r="H91" s="51"/>
      <c r="I91" s="37"/>
      <c r="J91" s="43">
        <f t="shared" si="6"/>
        <v>4210247.6000000015</v>
      </c>
    </row>
    <row r="92" spans="1:16">
      <c r="A92" s="35"/>
      <c r="B92" s="41"/>
      <c r="C92" s="42"/>
      <c r="D92" s="42"/>
      <c r="E92" s="42"/>
      <c r="F92" s="42"/>
      <c r="G92" s="45"/>
      <c r="H92" s="51"/>
      <c r="I92" s="37"/>
      <c r="J92" s="43">
        <f t="shared" si="6"/>
        <v>4210247.6000000015</v>
      </c>
    </row>
    <row r="93" spans="1:16">
      <c r="A93" s="35"/>
      <c r="B93" s="41"/>
      <c r="C93" s="42"/>
      <c r="D93" s="42"/>
      <c r="E93" s="42"/>
      <c r="F93" s="42"/>
      <c r="G93" s="45"/>
      <c r="H93" s="51"/>
      <c r="I93" s="37"/>
      <c r="J93" s="43">
        <f t="shared" si="6"/>
        <v>4210247.6000000015</v>
      </c>
    </row>
    <row r="94" spans="1:16">
      <c r="A94" s="35"/>
      <c r="B94" s="41"/>
      <c r="C94" s="42"/>
      <c r="D94" s="42"/>
      <c r="E94" s="42"/>
      <c r="F94" s="42"/>
      <c r="G94" s="45"/>
      <c r="H94" s="51"/>
      <c r="I94" s="51"/>
      <c r="J94" s="43">
        <f t="shared" si="6"/>
        <v>4210247.6000000015</v>
      </c>
    </row>
    <row r="95" spans="1:16">
      <c r="A95" s="35"/>
      <c r="B95" s="41"/>
      <c r="C95" s="42"/>
      <c r="D95" s="42"/>
      <c r="E95" s="42"/>
      <c r="F95" s="42"/>
      <c r="G95" s="45"/>
      <c r="H95" s="51"/>
      <c r="I95" s="51"/>
      <c r="J95" s="43">
        <f t="shared" si="6"/>
        <v>4210247.6000000015</v>
      </c>
    </row>
    <row r="96" spans="1:16">
      <c r="A96" s="35"/>
      <c r="B96" s="41"/>
      <c r="C96" s="42"/>
      <c r="D96" s="42"/>
      <c r="E96" s="42"/>
      <c r="F96" s="42"/>
      <c r="G96" s="45"/>
      <c r="H96" s="51"/>
      <c r="I96" s="51"/>
      <c r="J96" s="43">
        <f t="shared" si="6"/>
        <v>4210247.6000000015</v>
      </c>
    </row>
    <row r="97" spans="1:16">
      <c r="A97" s="35"/>
      <c r="B97" s="41"/>
      <c r="C97" s="42"/>
      <c r="D97" s="42"/>
      <c r="E97" s="42"/>
      <c r="F97" s="42"/>
      <c r="G97" s="45"/>
      <c r="H97" s="51"/>
      <c r="I97" s="51"/>
      <c r="J97" s="43">
        <f t="shared" si="6"/>
        <v>4210247.6000000015</v>
      </c>
    </row>
    <row r="98" spans="1:16">
      <c r="A98" s="35"/>
      <c r="B98" s="41"/>
      <c r="C98" s="42"/>
      <c r="D98" s="42"/>
      <c r="E98" s="42"/>
      <c r="F98" s="42"/>
      <c r="G98" s="45"/>
      <c r="H98" s="51"/>
      <c r="I98" s="51"/>
      <c r="J98" s="43">
        <f t="shared" si="6"/>
        <v>4210247.6000000015</v>
      </c>
    </row>
    <row r="99" spans="1:16">
      <c r="A99" s="35"/>
      <c r="B99" s="41"/>
      <c r="C99" s="42"/>
      <c r="D99" s="42"/>
      <c r="E99" s="42"/>
      <c r="F99" s="42"/>
      <c r="G99" s="45"/>
      <c r="H99" s="51"/>
      <c r="I99" s="51"/>
      <c r="J99" s="43">
        <f t="shared" si="6"/>
        <v>4210247.6000000015</v>
      </c>
    </row>
    <row r="100" spans="1:16">
      <c r="A100" s="35"/>
      <c r="B100" s="41"/>
      <c r="C100" s="42"/>
      <c r="D100" s="42"/>
      <c r="E100" s="42"/>
      <c r="F100" s="45"/>
      <c r="G100" s="42"/>
      <c r="H100" s="51"/>
      <c r="I100" s="51"/>
      <c r="J100" s="43">
        <f t="shared" si="6"/>
        <v>4210247.6000000015</v>
      </c>
    </row>
    <row r="101" spans="1:16">
      <c r="A101" s="35"/>
      <c r="B101" s="320" t="s">
        <v>134</v>
      </c>
      <c r="C101" s="321"/>
      <c r="D101" s="321"/>
      <c r="E101" s="321"/>
      <c r="F101" s="321"/>
      <c r="G101" s="321"/>
      <c r="H101" s="321"/>
      <c r="I101" s="321"/>
      <c r="J101" s="322"/>
    </row>
    <row r="102" spans="1:16">
      <c r="A102" s="35"/>
      <c r="B102" s="41"/>
      <c r="C102" s="42"/>
      <c r="D102" s="42"/>
      <c r="E102" s="42"/>
      <c r="F102" s="42" t="s">
        <v>171</v>
      </c>
      <c r="G102" s="42" t="s">
        <v>171</v>
      </c>
      <c r="H102" s="51">
        <f>+SUBVENCION!Y17+SUBVENCION!Z17</f>
        <v>0</v>
      </c>
      <c r="I102" s="51"/>
      <c r="J102" s="43">
        <f>+J100+H102-I102</f>
        <v>4210247.6000000015</v>
      </c>
      <c r="K102" s="44" t="s">
        <v>134</v>
      </c>
      <c r="L102" s="97" t="s">
        <v>5</v>
      </c>
      <c r="M102" s="97" t="s">
        <v>214</v>
      </c>
      <c r="N102" s="97" t="s">
        <v>212</v>
      </c>
      <c r="O102" s="97" t="s">
        <v>213</v>
      </c>
      <c r="P102" s="97" t="s">
        <v>7</v>
      </c>
    </row>
    <row r="103" spans="1:16">
      <c r="A103" s="35"/>
      <c r="B103" s="41"/>
      <c r="C103" s="42"/>
      <c r="D103" s="42"/>
      <c r="E103" s="42"/>
      <c r="F103" s="42" t="s">
        <v>199</v>
      </c>
      <c r="G103" s="42" t="s">
        <v>199</v>
      </c>
      <c r="H103" s="51"/>
      <c r="I103" s="51"/>
      <c r="J103" s="43">
        <f t="shared" si="5"/>
        <v>4210247.6000000015</v>
      </c>
      <c r="L103" s="37">
        <f>+H102</f>
        <v>0</v>
      </c>
      <c r="M103" s="51">
        <f>+L103*10%</f>
        <v>0</v>
      </c>
      <c r="N103" s="51">
        <f>+I103</f>
        <v>0</v>
      </c>
      <c r="O103" s="51">
        <f>+I104+I105</f>
        <v>0</v>
      </c>
      <c r="P103" s="153">
        <f>+L103-M103-N103-O103</f>
        <v>0</v>
      </c>
    </row>
    <row r="104" spans="1:16">
      <c r="A104" s="35"/>
      <c r="B104" s="41"/>
      <c r="C104" s="42"/>
      <c r="D104" s="42"/>
      <c r="E104" s="42"/>
      <c r="F104" s="42"/>
      <c r="G104" s="45"/>
      <c r="H104" s="51"/>
      <c r="I104" s="51"/>
      <c r="J104" s="43">
        <f t="shared" si="5"/>
        <v>4210247.6000000015</v>
      </c>
    </row>
    <row r="105" spans="1:16">
      <c r="A105" s="35"/>
      <c r="B105" s="41"/>
      <c r="C105" s="42"/>
      <c r="D105" s="42"/>
      <c r="E105" s="42"/>
      <c r="F105" s="42"/>
      <c r="G105" s="45"/>
      <c r="H105" s="51"/>
      <c r="I105" s="51"/>
      <c r="J105" s="43">
        <f t="shared" si="5"/>
        <v>4210247.6000000015</v>
      </c>
    </row>
    <row r="106" spans="1:16">
      <c r="A106" s="35"/>
      <c r="B106" s="41"/>
      <c r="C106" s="42"/>
      <c r="D106" s="42"/>
      <c r="E106" s="42"/>
      <c r="F106" s="42"/>
      <c r="G106" s="45"/>
      <c r="H106" s="51"/>
      <c r="I106" s="51"/>
      <c r="J106" s="43">
        <f t="shared" si="5"/>
        <v>4210247.6000000015</v>
      </c>
    </row>
    <row r="107" spans="1:16">
      <c r="A107" s="35"/>
      <c r="B107" s="41"/>
      <c r="C107" s="42"/>
      <c r="D107" s="42"/>
      <c r="E107" s="42"/>
      <c r="F107" s="42"/>
      <c r="G107" s="45"/>
      <c r="H107" s="51"/>
      <c r="I107" s="51"/>
      <c r="J107" s="43">
        <f t="shared" si="5"/>
        <v>4210247.6000000015</v>
      </c>
    </row>
    <row r="108" spans="1:16">
      <c r="A108" s="35"/>
      <c r="B108" s="41"/>
      <c r="C108" s="42"/>
      <c r="D108" s="42"/>
      <c r="E108" s="42"/>
      <c r="F108" s="42"/>
      <c r="G108" s="45"/>
      <c r="H108" s="51"/>
      <c r="I108" s="51"/>
      <c r="J108" s="43">
        <f t="shared" si="5"/>
        <v>4210247.6000000015</v>
      </c>
    </row>
    <row r="109" spans="1:16">
      <c r="A109" s="35"/>
      <c r="B109" s="41"/>
      <c r="C109" s="42"/>
      <c r="D109" s="42"/>
      <c r="E109" s="42"/>
      <c r="F109" s="42" t="s">
        <v>201</v>
      </c>
      <c r="G109" s="42" t="s">
        <v>201</v>
      </c>
      <c r="H109" s="51">
        <f>(H11+H14+H17+H29+H38+H43+H52+H61+H68+H75+H88+H102)*-10%</f>
        <v>-3226045.8000000003</v>
      </c>
      <c r="I109" s="51"/>
      <c r="J109" s="43">
        <f t="shared" si="5"/>
        <v>984201.80000000121</v>
      </c>
      <c r="K109" s="44" t="s">
        <v>215</v>
      </c>
      <c r="L109" s="97" t="s">
        <v>5</v>
      </c>
      <c r="M109" s="97" t="s">
        <v>214</v>
      </c>
      <c r="N109" s="97" t="s">
        <v>212</v>
      </c>
      <c r="O109" s="97" t="s">
        <v>213</v>
      </c>
      <c r="P109" s="97" t="s">
        <v>7</v>
      </c>
    </row>
    <row r="110" spans="1:16">
      <c r="A110" s="48"/>
      <c r="B110" s="46" t="s">
        <v>8</v>
      </c>
      <c r="C110" s="97" t="s">
        <v>8</v>
      </c>
      <c r="D110" s="97"/>
      <c r="E110" s="97"/>
      <c r="F110" s="97"/>
      <c r="G110" s="97" t="s">
        <v>9</v>
      </c>
      <c r="H110" s="38">
        <f>SUM(H9:H109)</f>
        <v>29550824.800000001</v>
      </c>
      <c r="I110" s="38">
        <f>SUM(I9:I109)</f>
        <v>28566623</v>
      </c>
      <c r="J110" s="38">
        <f>+H110-I110</f>
        <v>984201.80000000075</v>
      </c>
      <c r="L110" s="37">
        <f>+H11+H14+H17+H29+H38+H43+H52+H61+H68+H75+H88+H102</f>
        <v>32260458</v>
      </c>
      <c r="M110" s="51">
        <f>+L110*10%</f>
        <v>3226045.8000000003</v>
      </c>
      <c r="N110" s="51">
        <f>+I12+I15+I18+I30+I39+I44+I53+I62+I69+I76+I89+I103</f>
        <v>24172272</v>
      </c>
      <c r="O110" s="51">
        <f>+I19++I20+I21+I22+I31+I40+I45+I46+I47+I48+I49+I50+I54+I55+I56+I57+I58+I59+I63+I64+I65+I70+I71+I72</f>
        <v>4394351</v>
      </c>
      <c r="P110" s="153">
        <f>+L110-M110-N110-O110</f>
        <v>467789.19999999925</v>
      </c>
    </row>
    <row r="112" spans="1:16">
      <c r="P112" s="154">
        <f>+P12+P15+P18+P30+P39+P44+P53+P62+P69+P76+P89+P103</f>
        <v>467789.20000000019</v>
      </c>
    </row>
    <row r="114" spans="3:15">
      <c r="C114" s="44" t="s">
        <v>223</v>
      </c>
      <c r="O114" s="181"/>
    </row>
    <row r="115" spans="3:15">
      <c r="H115" s="97" t="s">
        <v>5</v>
      </c>
      <c r="I115" s="97" t="s">
        <v>6</v>
      </c>
      <c r="J115" s="97" t="s">
        <v>198</v>
      </c>
    </row>
    <row r="116" spans="3:15">
      <c r="H116" s="37">
        <f>+H110</f>
        <v>29550824.800000001</v>
      </c>
      <c r="I116" s="43">
        <f>+I110</f>
        <v>28566623</v>
      </c>
      <c r="J116" s="143">
        <f>+I116*100/H116</f>
        <v>96.6694608131547</v>
      </c>
    </row>
  </sheetData>
  <autoFilter ref="A8:J110" xr:uid="{00000000-0009-0000-0000-000006000000}"/>
  <mergeCells count="18">
    <mergeCell ref="B2:J2"/>
    <mergeCell ref="B3:J3"/>
    <mergeCell ref="B4:J4"/>
    <mergeCell ref="B5:J5"/>
    <mergeCell ref="B6:J6"/>
    <mergeCell ref="B101:J101"/>
    <mergeCell ref="B42:J42"/>
    <mergeCell ref="B37:J37"/>
    <mergeCell ref="B7:J7"/>
    <mergeCell ref="B10:J10"/>
    <mergeCell ref="B16:J16"/>
    <mergeCell ref="B28:J28"/>
    <mergeCell ref="B13:J13"/>
    <mergeCell ref="B87:J87"/>
    <mergeCell ref="B74:J74"/>
    <mergeCell ref="B67:J67"/>
    <mergeCell ref="B60:J60"/>
    <mergeCell ref="B51:J51"/>
  </mergeCells>
  <conditionalFormatting sqref="B42 H61:J66 H68:J73">
    <cfRule type="cellIs" dxfId="154" priority="6" operator="lessThan">
      <formula>0</formula>
    </cfRule>
  </conditionalFormatting>
  <conditionalFormatting sqref="H1:J36 B37 H52:J59 H117:J1048576">
    <cfRule type="cellIs" dxfId="153" priority="7" operator="lessThan">
      <formula>0</formula>
    </cfRule>
  </conditionalFormatting>
  <conditionalFormatting sqref="H38:J39 H40:I40 J40:J41 I41 H42:J50 B51">
    <cfRule type="cellIs" dxfId="152" priority="5" operator="lessThan">
      <formula>0</formula>
    </cfRule>
  </conditionalFormatting>
  <conditionalFormatting sqref="H75:J86">
    <cfRule type="cellIs" dxfId="151" priority="2" operator="lessThan">
      <formula>0</formula>
    </cfRule>
  </conditionalFormatting>
  <conditionalFormatting sqref="H88:J100">
    <cfRule type="cellIs" dxfId="150" priority="1" operator="lessThan">
      <formula>0</formula>
    </cfRule>
  </conditionalFormatting>
  <conditionalFormatting sqref="H102:J114">
    <cfRule type="cellIs" dxfId="149" priority="4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Q119"/>
  <sheetViews>
    <sheetView showGridLines="0" topLeftCell="A73" zoomScaleNormal="100" workbookViewId="0">
      <selection activeCell="Q116" sqref="Q116"/>
    </sheetView>
  </sheetViews>
  <sheetFormatPr baseColWidth="10" defaultRowHeight="11.25"/>
  <cols>
    <col min="1" max="2" width="11.42578125" style="7"/>
    <col min="3" max="3" width="15.85546875" style="7" customWidth="1"/>
    <col min="4" max="4" width="13.5703125" style="7" bestFit="1" customWidth="1"/>
    <col min="5" max="5" width="11.42578125" style="7"/>
    <col min="6" max="7" width="25.7109375" style="7" bestFit="1" customWidth="1"/>
    <col min="8" max="8" width="11.7109375" style="14" bestFit="1" customWidth="1"/>
    <col min="9" max="9" width="12.5703125" style="57" bestFit="1" customWidth="1"/>
    <col min="10" max="10" width="12.28515625" style="14" bestFit="1" customWidth="1"/>
    <col min="11" max="16384" width="11.42578125" style="7"/>
  </cols>
  <sheetData>
    <row r="1" spans="1:17">
      <c r="A1" s="5"/>
      <c r="B1" s="5"/>
      <c r="C1" s="5"/>
      <c r="D1" s="5"/>
      <c r="E1" s="5"/>
      <c r="F1" s="5"/>
      <c r="G1" s="5"/>
      <c r="H1" s="6"/>
      <c r="I1" s="59"/>
      <c r="J1" s="6"/>
    </row>
    <row r="2" spans="1:17">
      <c r="A2" s="5"/>
      <c r="B2" s="360" t="s">
        <v>0</v>
      </c>
      <c r="C2" s="360"/>
      <c r="D2" s="360"/>
      <c r="E2" s="360"/>
      <c r="F2" s="360"/>
      <c r="G2" s="360"/>
      <c r="H2" s="360"/>
      <c r="I2" s="360"/>
      <c r="J2" s="360"/>
    </row>
    <row r="3" spans="1:17">
      <c r="A3" s="5"/>
      <c r="B3" s="360" t="s">
        <v>1</v>
      </c>
      <c r="C3" s="360"/>
      <c r="D3" s="360"/>
      <c r="E3" s="360"/>
      <c r="F3" s="360"/>
      <c r="G3" s="360"/>
      <c r="H3" s="360"/>
      <c r="I3" s="360"/>
      <c r="J3" s="360"/>
    </row>
    <row r="4" spans="1:17">
      <c r="A4" s="5"/>
      <c r="B4" s="361" t="s">
        <v>12</v>
      </c>
      <c r="C4" s="362"/>
      <c r="D4" s="362"/>
      <c r="E4" s="362"/>
      <c r="F4" s="362"/>
      <c r="G4" s="362"/>
      <c r="H4" s="362"/>
      <c r="I4" s="362"/>
      <c r="J4" s="363"/>
    </row>
    <row r="5" spans="1:17">
      <c r="A5" s="5"/>
      <c r="B5" s="361" t="s">
        <v>204</v>
      </c>
      <c r="C5" s="362"/>
      <c r="D5" s="362"/>
      <c r="E5" s="362"/>
      <c r="F5" s="362"/>
      <c r="G5" s="362"/>
      <c r="H5" s="362"/>
      <c r="I5" s="362"/>
      <c r="J5" s="363"/>
    </row>
    <row r="6" spans="1:17">
      <c r="A6" s="5"/>
      <c r="B6" s="361" t="s">
        <v>74</v>
      </c>
      <c r="C6" s="362"/>
      <c r="D6" s="362"/>
      <c r="E6" s="362"/>
      <c r="F6" s="362"/>
      <c r="G6" s="362"/>
      <c r="H6" s="362"/>
      <c r="I6" s="362"/>
      <c r="J6" s="363"/>
    </row>
    <row r="7" spans="1:17">
      <c r="A7" s="5"/>
      <c r="B7" s="361" t="s">
        <v>97</v>
      </c>
      <c r="C7" s="362"/>
      <c r="D7" s="362"/>
      <c r="E7" s="362"/>
      <c r="F7" s="362"/>
      <c r="G7" s="362"/>
      <c r="H7" s="362"/>
      <c r="I7" s="362"/>
      <c r="J7" s="363"/>
    </row>
    <row r="8" spans="1:17">
      <c r="A8" s="5"/>
      <c r="B8" s="16" t="s">
        <v>3</v>
      </c>
      <c r="C8" s="15" t="s">
        <v>11</v>
      </c>
      <c r="D8" s="15" t="s">
        <v>10</v>
      </c>
      <c r="E8" s="15" t="s">
        <v>16</v>
      </c>
      <c r="F8" s="15" t="s">
        <v>70</v>
      </c>
      <c r="G8" s="15" t="s">
        <v>4</v>
      </c>
      <c r="H8" s="27" t="s">
        <v>5</v>
      </c>
      <c r="I8" s="60" t="s">
        <v>6</v>
      </c>
      <c r="J8" s="27" t="s">
        <v>7</v>
      </c>
    </row>
    <row r="9" spans="1:17" s="24" customFormat="1">
      <c r="A9" s="23"/>
      <c r="B9" s="19"/>
      <c r="C9" s="18"/>
      <c r="D9" s="18"/>
      <c r="E9" s="18"/>
      <c r="F9" s="18"/>
      <c r="G9" s="18" t="s">
        <v>237</v>
      </c>
      <c r="H9" s="58">
        <f>'[1]F-413'!$J$127</f>
        <v>1010389.5</v>
      </c>
      <c r="I9" s="64"/>
      <c r="J9" s="58">
        <f>+H9-I9</f>
        <v>1010389.5</v>
      </c>
      <c r="K9" s="301"/>
    </row>
    <row r="10" spans="1:17" s="26" customFormat="1">
      <c r="A10" s="25"/>
      <c r="B10" s="364" t="s">
        <v>66</v>
      </c>
      <c r="C10" s="365"/>
      <c r="D10" s="365"/>
      <c r="E10" s="365"/>
      <c r="F10" s="365"/>
      <c r="G10" s="365"/>
      <c r="H10" s="365"/>
      <c r="I10" s="365"/>
      <c r="J10" s="366"/>
    </row>
    <row r="11" spans="1:17">
      <c r="A11" s="5"/>
      <c r="B11" s="41"/>
      <c r="C11" s="42"/>
      <c r="D11" s="42"/>
      <c r="E11" s="42"/>
      <c r="F11" s="42" t="s">
        <v>171</v>
      </c>
      <c r="G11" s="42" t="s">
        <v>171</v>
      </c>
      <c r="H11" s="61">
        <f>SUBVENCION!C11+SUBVENCION!D11</f>
        <v>11263770</v>
      </c>
      <c r="I11" s="61"/>
      <c r="J11" s="61">
        <f>+J9+H11-I11</f>
        <v>12274159.5</v>
      </c>
      <c r="L11" s="7" t="s">
        <v>66</v>
      </c>
      <c r="M11" s="97" t="s">
        <v>5</v>
      </c>
      <c r="N11" s="97" t="s">
        <v>214</v>
      </c>
      <c r="O11" s="97" t="s">
        <v>212</v>
      </c>
      <c r="P11" s="97" t="s">
        <v>213</v>
      </c>
      <c r="Q11" s="97" t="s">
        <v>7</v>
      </c>
    </row>
    <row r="12" spans="1:17">
      <c r="A12" s="5"/>
      <c r="B12" s="41"/>
      <c r="C12" s="42"/>
      <c r="D12" s="42"/>
      <c r="E12" s="42"/>
      <c r="F12" s="42" t="s">
        <v>199</v>
      </c>
      <c r="G12" s="42" t="s">
        <v>199</v>
      </c>
      <c r="H12" s="61"/>
      <c r="I12" s="61">
        <v>9558021</v>
      </c>
      <c r="J12" s="61">
        <f>J11+H12-I12</f>
        <v>2716138.5</v>
      </c>
      <c r="M12" s="37">
        <f>+H11</f>
        <v>11263770</v>
      </c>
      <c r="N12" s="51">
        <f>+M12*10%</f>
        <v>1126377</v>
      </c>
      <c r="O12" s="51">
        <f>+I12</f>
        <v>9558021</v>
      </c>
      <c r="P12" s="51">
        <v>0</v>
      </c>
      <c r="Q12" s="303">
        <f>+M12-N12-O12-P12</f>
        <v>579372</v>
      </c>
    </row>
    <row r="13" spans="1:17" s="21" customFormat="1">
      <c r="A13" s="13"/>
      <c r="B13" s="330" t="s">
        <v>67</v>
      </c>
      <c r="C13" s="331"/>
      <c r="D13" s="331"/>
      <c r="E13" s="331"/>
      <c r="F13" s="331"/>
      <c r="G13" s="331"/>
      <c r="H13" s="331"/>
      <c r="I13" s="331"/>
      <c r="J13" s="332"/>
      <c r="P13" s="145"/>
    </row>
    <row r="14" spans="1:17" s="24" customFormat="1">
      <c r="A14" s="23"/>
      <c r="B14" s="42"/>
      <c r="C14" s="42"/>
      <c r="D14" s="42"/>
      <c r="E14" s="42"/>
      <c r="F14" s="42" t="s">
        <v>171</v>
      </c>
      <c r="G14" s="42" t="s">
        <v>171</v>
      </c>
      <c r="H14" s="64">
        <f>SUBVENCION!E11+SUBVENCION!F11</f>
        <v>11947720</v>
      </c>
      <c r="I14" s="64"/>
      <c r="J14" s="64">
        <f>+J12+H14-I14</f>
        <v>14663858.5</v>
      </c>
      <c r="L14" s="24" t="s">
        <v>67</v>
      </c>
      <c r="M14" s="97" t="s">
        <v>5</v>
      </c>
      <c r="N14" s="97" t="s">
        <v>214</v>
      </c>
      <c r="O14" s="97" t="s">
        <v>212</v>
      </c>
      <c r="P14" s="97" t="s">
        <v>213</v>
      </c>
      <c r="Q14" s="97" t="s">
        <v>7</v>
      </c>
    </row>
    <row r="15" spans="1:17" s="24" customFormat="1">
      <c r="A15" s="23"/>
      <c r="B15" s="42"/>
      <c r="C15" s="42"/>
      <c r="D15" s="42"/>
      <c r="E15" s="42"/>
      <c r="F15" s="42" t="s">
        <v>199</v>
      </c>
      <c r="G15" s="42" t="s">
        <v>199</v>
      </c>
      <c r="H15" s="64"/>
      <c r="I15" s="58">
        <v>10220190</v>
      </c>
      <c r="J15" s="64">
        <f>+J14+H15-I15</f>
        <v>4443668.5</v>
      </c>
      <c r="M15" s="37">
        <f>+H14</f>
        <v>11947720</v>
      </c>
      <c r="N15" s="51">
        <f>+M15*10%</f>
        <v>1194772</v>
      </c>
      <c r="O15" s="51">
        <f>+I15</f>
        <v>10220190</v>
      </c>
      <c r="P15" s="51">
        <v>0</v>
      </c>
      <c r="Q15" s="303">
        <f>+M15-N15-O15-P15</f>
        <v>532758</v>
      </c>
    </row>
    <row r="16" spans="1:17" s="21" customFormat="1">
      <c r="B16" s="367" t="s">
        <v>68</v>
      </c>
      <c r="C16" s="367"/>
      <c r="D16" s="367"/>
      <c r="E16" s="367"/>
      <c r="F16" s="367"/>
      <c r="G16" s="367"/>
      <c r="H16" s="367"/>
      <c r="I16" s="367"/>
      <c r="J16" s="367"/>
    </row>
    <row r="17" spans="2:17">
      <c r="B17" s="41"/>
      <c r="C17" s="83"/>
      <c r="D17" s="42"/>
      <c r="E17" s="42"/>
      <c r="F17" s="42" t="s">
        <v>171</v>
      </c>
      <c r="G17" s="42" t="s">
        <v>171</v>
      </c>
      <c r="H17" s="61">
        <f>SUBVENCION!G11+SUBVENCION!H11</f>
        <v>11489045</v>
      </c>
      <c r="I17" s="61"/>
      <c r="J17" s="61">
        <f>+J15+H17-I17</f>
        <v>15932713.5</v>
      </c>
      <c r="L17" s="7" t="s">
        <v>68</v>
      </c>
      <c r="M17" s="97" t="s">
        <v>5</v>
      </c>
      <c r="N17" s="97" t="s">
        <v>214</v>
      </c>
      <c r="O17" s="97" t="s">
        <v>212</v>
      </c>
      <c r="P17" s="97" t="s">
        <v>213</v>
      </c>
      <c r="Q17" s="97" t="s">
        <v>7</v>
      </c>
    </row>
    <row r="18" spans="2:17">
      <c r="B18" s="41"/>
      <c r="C18" s="42"/>
      <c r="D18" s="42"/>
      <c r="E18" s="42"/>
      <c r="F18" s="42" t="s">
        <v>199</v>
      </c>
      <c r="G18" s="42" t="s">
        <v>199</v>
      </c>
      <c r="H18" s="61"/>
      <c r="I18" s="11">
        <v>9348835</v>
      </c>
      <c r="J18" s="61">
        <f>+J17+H18-I18</f>
        <v>6583878.5</v>
      </c>
      <c r="M18" s="37">
        <f>+H17</f>
        <v>11489045</v>
      </c>
      <c r="N18" s="51">
        <f>+M18*10%</f>
        <v>1148904.5</v>
      </c>
      <c r="O18" s="51">
        <f>+I18</f>
        <v>9348835</v>
      </c>
      <c r="P18" s="51">
        <f>I19+I20+I21+I22+I23+I24+I25+I26</f>
        <v>1422665</v>
      </c>
      <c r="Q18" s="303">
        <f>+M18-N18-O18-P18</f>
        <v>-431359.5</v>
      </c>
    </row>
    <row r="19" spans="2:17">
      <c r="B19" s="41">
        <v>46086</v>
      </c>
      <c r="C19" s="42">
        <v>5</v>
      </c>
      <c r="D19" s="42">
        <v>63</v>
      </c>
      <c r="E19" s="42">
        <v>569</v>
      </c>
      <c r="F19" s="42" t="s">
        <v>239</v>
      </c>
      <c r="G19" s="42" t="s">
        <v>239</v>
      </c>
      <c r="H19" s="61"/>
      <c r="I19" s="61">
        <v>208131</v>
      </c>
      <c r="J19" s="61">
        <f t="shared" ref="J19:J27" si="0">+J18+H19-I19</f>
        <v>6375747.5</v>
      </c>
    </row>
    <row r="20" spans="2:17">
      <c r="B20" s="41">
        <v>46087</v>
      </c>
      <c r="C20" s="42">
        <v>6</v>
      </c>
      <c r="D20" s="42">
        <v>64</v>
      </c>
      <c r="E20" s="42">
        <v>583</v>
      </c>
      <c r="F20" s="18" t="s">
        <v>273</v>
      </c>
      <c r="G20" s="18" t="s">
        <v>273</v>
      </c>
      <c r="H20" s="213"/>
      <c r="I20" s="61">
        <v>207740</v>
      </c>
      <c r="J20" s="61">
        <f t="shared" si="0"/>
        <v>6168007.5</v>
      </c>
    </row>
    <row r="21" spans="2:17">
      <c r="B21" s="41">
        <v>46097</v>
      </c>
      <c r="C21" s="42">
        <v>9</v>
      </c>
      <c r="D21" s="42">
        <v>121</v>
      </c>
      <c r="E21" s="42">
        <v>571</v>
      </c>
      <c r="F21" s="18" t="s">
        <v>273</v>
      </c>
      <c r="G21" s="18" t="s">
        <v>273</v>
      </c>
      <c r="H21" s="61"/>
      <c r="I21" s="84">
        <v>203659</v>
      </c>
      <c r="J21" s="61">
        <f t="shared" si="0"/>
        <v>5964348.5</v>
      </c>
    </row>
    <row r="22" spans="2:17">
      <c r="B22" s="41">
        <v>46093</v>
      </c>
      <c r="C22" s="42">
        <v>7</v>
      </c>
      <c r="D22" s="42">
        <v>129</v>
      </c>
      <c r="E22" s="42">
        <v>392</v>
      </c>
      <c r="F22" s="42" t="s">
        <v>273</v>
      </c>
      <c r="G22" s="45" t="s">
        <v>240</v>
      </c>
      <c r="H22" s="61"/>
      <c r="I22" s="84">
        <v>208000</v>
      </c>
      <c r="J22" s="61">
        <f t="shared" si="0"/>
        <v>5756348.5</v>
      </c>
    </row>
    <row r="23" spans="2:17">
      <c r="B23" s="41">
        <v>46097</v>
      </c>
      <c r="C23" s="42">
        <v>8</v>
      </c>
      <c r="D23" s="42">
        <v>128</v>
      </c>
      <c r="E23" s="42">
        <v>396</v>
      </c>
      <c r="F23" s="42" t="s">
        <v>317</v>
      </c>
      <c r="G23" s="45" t="s">
        <v>261</v>
      </c>
      <c r="H23" s="61"/>
      <c r="I23" s="84">
        <v>199990</v>
      </c>
      <c r="J23" s="61">
        <f t="shared" si="0"/>
        <v>5556358.5</v>
      </c>
    </row>
    <row r="24" spans="2:17">
      <c r="B24" s="41">
        <v>46100</v>
      </c>
      <c r="C24" s="42">
        <v>10</v>
      </c>
      <c r="D24" s="42">
        <v>143</v>
      </c>
      <c r="E24" s="42">
        <v>384</v>
      </c>
      <c r="F24" s="42" t="s">
        <v>278</v>
      </c>
      <c r="G24" s="45" t="s">
        <v>281</v>
      </c>
      <c r="H24" s="61"/>
      <c r="I24" s="84">
        <v>195636</v>
      </c>
      <c r="J24" s="61">
        <f t="shared" si="0"/>
        <v>5360722.5</v>
      </c>
    </row>
    <row r="25" spans="2:17">
      <c r="B25" s="41">
        <v>46104</v>
      </c>
      <c r="C25" s="42">
        <v>11</v>
      </c>
      <c r="D25" s="42" t="s">
        <v>356</v>
      </c>
      <c r="E25" s="42">
        <v>714</v>
      </c>
      <c r="F25" s="18" t="s">
        <v>273</v>
      </c>
      <c r="G25" s="45" t="s">
        <v>357</v>
      </c>
      <c r="H25" s="61"/>
      <c r="I25" s="84">
        <v>199509</v>
      </c>
      <c r="J25" s="61">
        <f t="shared" si="0"/>
        <v>5161213.5</v>
      </c>
    </row>
    <row r="26" spans="2:17">
      <c r="B26" s="41"/>
      <c r="C26" s="42"/>
      <c r="D26" s="42"/>
      <c r="E26" s="42"/>
      <c r="F26" s="42"/>
      <c r="G26" s="45"/>
      <c r="H26" s="61"/>
      <c r="I26" s="84"/>
      <c r="J26" s="61">
        <f t="shared" si="0"/>
        <v>5161213.5</v>
      </c>
    </row>
    <row r="27" spans="2:17">
      <c r="B27" s="41"/>
      <c r="C27" s="42"/>
      <c r="D27" s="42"/>
      <c r="E27" s="42"/>
      <c r="F27" s="42"/>
      <c r="G27" s="45"/>
      <c r="H27" s="61"/>
      <c r="I27" s="84"/>
      <c r="J27" s="61">
        <f t="shared" si="0"/>
        <v>5161213.5</v>
      </c>
    </row>
    <row r="28" spans="2:17" s="21" customFormat="1">
      <c r="B28" s="330" t="s">
        <v>69</v>
      </c>
      <c r="C28" s="331"/>
      <c r="D28" s="331"/>
      <c r="E28" s="331"/>
      <c r="F28" s="331"/>
      <c r="G28" s="331"/>
      <c r="H28" s="331"/>
      <c r="I28" s="331"/>
      <c r="J28" s="332"/>
    </row>
    <row r="29" spans="2:17">
      <c r="B29" s="41"/>
      <c r="C29" s="42"/>
      <c r="D29" s="42"/>
      <c r="E29" s="42"/>
      <c r="F29" s="42" t="s">
        <v>171</v>
      </c>
      <c r="G29" s="42" t="s">
        <v>171</v>
      </c>
      <c r="H29" s="61">
        <f>SUBVENCION!I11+SUBVENCION!J11</f>
        <v>12555792</v>
      </c>
      <c r="I29" s="61"/>
      <c r="J29" s="61">
        <f>+J27+H29-I29</f>
        <v>17717005.5</v>
      </c>
      <c r="L29" s="7" t="s">
        <v>69</v>
      </c>
      <c r="M29" s="97" t="s">
        <v>5</v>
      </c>
      <c r="N29" s="97" t="s">
        <v>214</v>
      </c>
      <c r="O29" s="97" t="s">
        <v>212</v>
      </c>
      <c r="P29" s="97" t="s">
        <v>213</v>
      </c>
      <c r="Q29" s="97" t="s">
        <v>7</v>
      </c>
    </row>
    <row r="30" spans="2:17">
      <c r="B30" s="41"/>
      <c r="C30" s="42"/>
      <c r="D30" s="42"/>
      <c r="E30" s="42"/>
      <c r="F30" s="42" t="s">
        <v>199</v>
      </c>
      <c r="G30" s="42" t="s">
        <v>199</v>
      </c>
      <c r="H30" s="61"/>
      <c r="I30" s="61">
        <v>9382193</v>
      </c>
      <c r="J30" s="61">
        <f>+J29+H30-I30</f>
        <v>8334812.5</v>
      </c>
      <c r="M30" s="37">
        <f>+H29</f>
        <v>12555792</v>
      </c>
      <c r="N30" s="51">
        <f>+M30*10%</f>
        <v>1255579.2</v>
      </c>
      <c r="O30" s="51">
        <f>+I30</f>
        <v>9382193</v>
      </c>
      <c r="P30" s="51">
        <f>I31+I32+I33+I34</f>
        <v>1076048</v>
      </c>
      <c r="Q30" s="303">
        <f>+M30-N30-O30-P30</f>
        <v>841971.80000000075</v>
      </c>
    </row>
    <row r="31" spans="2:17">
      <c r="B31" s="41">
        <v>46113</v>
      </c>
      <c r="C31" s="42">
        <v>13</v>
      </c>
      <c r="D31" s="42">
        <v>209</v>
      </c>
      <c r="E31" s="42">
        <v>701</v>
      </c>
      <c r="F31" s="42" t="s">
        <v>359</v>
      </c>
      <c r="G31" s="42" t="s">
        <v>359</v>
      </c>
      <c r="H31" s="61"/>
      <c r="I31" s="61">
        <v>207098</v>
      </c>
      <c r="J31" s="61">
        <f t="shared" ref="J31:J34" si="1">+J30+H31-I31</f>
        <v>8127714.5</v>
      </c>
    </row>
    <row r="32" spans="2:17">
      <c r="B32" s="41">
        <v>46114</v>
      </c>
      <c r="C32" s="42">
        <v>16</v>
      </c>
      <c r="D32" s="42" t="s">
        <v>417</v>
      </c>
      <c r="E32" s="42">
        <v>775</v>
      </c>
      <c r="F32" s="42" t="s">
        <v>278</v>
      </c>
      <c r="G32" s="42" t="s">
        <v>278</v>
      </c>
      <c r="H32" s="61"/>
      <c r="I32" s="61">
        <v>452200</v>
      </c>
      <c r="J32" s="61">
        <f t="shared" si="1"/>
        <v>7675514.5</v>
      </c>
    </row>
    <row r="33" spans="2:17">
      <c r="B33" s="41">
        <v>46114</v>
      </c>
      <c r="C33" s="42">
        <v>14</v>
      </c>
      <c r="D33" s="42">
        <v>225</v>
      </c>
      <c r="E33" s="42">
        <v>572</v>
      </c>
      <c r="F33" s="42" t="s">
        <v>267</v>
      </c>
      <c r="G33" s="42" t="s">
        <v>267</v>
      </c>
      <c r="H33" s="61"/>
      <c r="I33" s="61">
        <v>208500</v>
      </c>
      <c r="J33" s="61">
        <f t="shared" si="1"/>
        <v>7467014.5</v>
      </c>
    </row>
    <row r="34" spans="2:17">
      <c r="B34" s="41">
        <v>46114</v>
      </c>
      <c r="C34" s="42">
        <v>15</v>
      </c>
      <c r="D34" s="42">
        <v>226</v>
      </c>
      <c r="E34" s="18">
        <v>613</v>
      </c>
      <c r="F34" s="42" t="s">
        <v>267</v>
      </c>
      <c r="G34" s="42" t="s">
        <v>267</v>
      </c>
      <c r="H34" s="61"/>
      <c r="I34" s="61">
        <v>208250</v>
      </c>
      <c r="J34" s="61">
        <f t="shared" si="1"/>
        <v>7258764.5</v>
      </c>
    </row>
    <row r="35" spans="2:17">
      <c r="B35" s="320" t="s">
        <v>120</v>
      </c>
      <c r="C35" s="321"/>
      <c r="D35" s="321"/>
      <c r="E35" s="321"/>
      <c r="F35" s="321"/>
      <c r="G35" s="321"/>
      <c r="H35" s="321"/>
      <c r="I35" s="321"/>
      <c r="J35" s="322"/>
    </row>
    <row r="36" spans="2:17">
      <c r="B36" s="41"/>
      <c r="C36" s="42"/>
      <c r="D36" s="42"/>
      <c r="E36" s="42"/>
      <c r="F36" s="42" t="s">
        <v>171</v>
      </c>
      <c r="G36" s="42" t="s">
        <v>171</v>
      </c>
      <c r="H36" s="61">
        <f>SUBVENCION!K11+SUBVENCION!L11</f>
        <v>12345924</v>
      </c>
      <c r="I36" s="61"/>
      <c r="J36" s="61">
        <f>+J34+H36-I36</f>
        <v>19604688.5</v>
      </c>
      <c r="L36" s="7" t="s">
        <v>120</v>
      </c>
      <c r="M36" s="97" t="s">
        <v>5</v>
      </c>
      <c r="N36" s="97" t="s">
        <v>214</v>
      </c>
      <c r="O36" s="97" t="s">
        <v>212</v>
      </c>
      <c r="P36" s="97" t="s">
        <v>213</v>
      </c>
      <c r="Q36" s="97" t="s">
        <v>7</v>
      </c>
    </row>
    <row r="37" spans="2:17">
      <c r="B37" s="41"/>
      <c r="C37" s="42"/>
      <c r="D37" s="42"/>
      <c r="E37" s="42"/>
      <c r="F37" s="42" t="s">
        <v>199</v>
      </c>
      <c r="G37" s="42" t="s">
        <v>199</v>
      </c>
      <c r="H37" s="61"/>
      <c r="I37" s="11">
        <v>9373972</v>
      </c>
      <c r="J37" s="61">
        <f>+J36+H37-I37</f>
        <v>10230716.5</v>
      </c>
      <c r="M37" s="37">
        <f>+H36</f>
        <v>12345924</v>
      </c>
      <c r="N37" s="51">
        <f>+M37*10%</f>
        <v>1234592.4000000001</v>
      </c>
      <c r="O37" s="51">
        <f>+I37</f>
        <v>9373972</v>
      </c>
      <c r="P37" s="51">
        <f>I38+I39+I40+I41+I42+I43+I44+I45+I46</f>
        <v>2358614</v>
      </c>
      <c r="Q37" s="303">
        <f>+M37-N37-O37-P37</f>
        <v>-621254.40000000037</v>
      </c>
    </row>
    <row r="38" spans="2:17">
      <c r="B38" s="41">
        <v>46146</v>
      </c>
      <c r="C38" s="42">
        <v>21</v>
      </c>
      <c r="D38" s="42">
        <v>406</v>
      </c>
      <c r="E38" s="42">
        <v>977</v>
      </c>
      <c r="F38" s="42" t="s">
        <v>267</v>
      </c>
      <c r="G38" s="42" t="s">
        <v>240</v>
      </c>
      <c r="H38" s="61"/>
      <c r="I38" s="61">
        <v>74300</v>
      </c>
      <c r="J38" s="61">
        <f t="shared" ref="J38:J46" si="2">+J37+H38-I38</f>
        <v>10156416.5</v>
      </c>
      <c r="M38" s="155"/>
      <c r="N38" s="156"/>
      <c r="O38" s="156"/>
      <c r="P38" s="156"/>
      <c r="Q38" s="157"/>
    </row>
    <row r="39" spans="2:17">
      <c r="B39" s="41">
        <v>46146</v>
      </c>
      <c r="C39" s="42">
        <v>22</v>
      </c>
      <c r="D39" s="42">
        <v>407</v>
      </c>
      <c r="E39" s="42">
        <v>960</v>
      </c>
      <c r="F39" s="42" t="s">
        <v>267</v>
      </c>
      <c r="G39" s="42" t="s">
        <v>240</v>
      </c>
      <c r="H39" s="61"/>
      <c r="I39" s="61">
        <f>152844+56095</f>
        <v>208939</v>
      </c>
      <c r="J39" s="61">
        <f t="shared" si="2"/>
        <v>9947477.5</v>
      </c>
      <c r="M39" s="155"/>
      <c r="N39" s="156"/>
      <c r="O39" s="156"/>
      <c r="P39" s="156"/>
      <c r="Q39" s="157"/>
    </row>
    <row r="40" spans="2:17">
      <c r="B40" s="41"/>
      <c r="C40" s="42"/>
      <c r="D40" s="42"/>
      <c r="E40" s="42"/>
      <c r="F40" s="42"/>
      <c r="G40" s="42"/>
      <c r="H40" s="61"/>
      <c r="I40" s="61">
        <v>180900</v>
      </c>
      <c r="J40" s="61">
        <f t="shared" si="2"/>
        <v>9766577.5</v>
      </c>
      <c r="M40" s="155"/>
      <c r="N40" s="156"/>
      <c r="O40" s="156"/>
      <c r="P40" s="156"/>
      <c r="Q40" s="157"/>
    </row>
    <row r="41" spans="2:17">
      <c r="B41" s="41">
        <v>46146</v>
      </c>
      <c r="C41" s="42" t="s">
        <v>442</v>
      </c>
      <c r="D41" s="42" t="s">
        <v>443</v>
      </c>
      <c r="E41" s="42">
        <v>885</v>
      </c>
      <c r="F41" s="42" t="s">
        <v>267</v>
      </c>
      <c r="G41" s="42" t="s">
        <v>240</v>
      </c>
      <c r="H41" s="61"/>
      <c r="I41" s="61">
        <v>150170</v>
      </c>
      <c r="J41" s="61">
        <f t="shared" si="2"/>
        <v>9616407.5</v>
      </c>
      <c r="M41" s="155"/>
      <c r="N41" s="156"/>
      <c r="O41" s="156"/>
      <c r="P41" s="156"/>
      <c r="Q41" s="157"/>
    </row>
    <row r="42" spans="2:17">
      <c r="B42" s="41">
        <v>46146</v>
      </c>
      <c r="C42" s="42">
        <v>26</v>
      </c>
      <c r="D42" s="42">
        <v>411</v>
      </c>
      <c r="E42" s="42">
        <v>884</v>
      </c>
      <c r="F42" s="42" t="s">
        <v>242</v>
      </c>
      <c r="G42" s="42" t="s">
        <v>242</v>
      </c>
      <c r="H42" s="61"/>
      <c r="I42" s="61">
        <v>209000</v>
      </c>
      <c r="J42" s="61">
        <f t="shared" si="2"/>
        <v>9407407.5</v>
      </c>
      <c r="M42" s="155"/>
      <c r="N42" s="156"/>
      <c r="O42" s="156"/>
      <c r="P42" s="156"/>
      <c r="Q42" s="157"/>
    </row>
    <row r="43" spans="2:17">
      <c r="B43" s="41">
        <v>46149</v>
      </c>
      <c r="C43" s="42">
        <v>33</v>
      </c>
      <c r="D43" s="42">
        <v>412</v>
      </c>
      <c r="E43" s="42">
        <v>952</v>
      </c>
      <c r="F43" s="42" t="s">
        <v>278</v>
      </c>
      <c r="G43" s="42" t="s">
        <v>278</v>
      </c>
      <c r="H43" s="61"/>
      <c r="I43" s="61">
        <v>208488</v>
      </c>
      <c r="J43" s="61">
        <f t="shared" si="2"/>
        <v>9198919.5</v>
      </c>
      <c r="M43" s="155"/>
      <c r="N43" s="156"/>
      <c r="O43" s="156"/>
      <c r="P43" s="156"/>
      <c r="Q43" s="157"/>
    </row>
    <row r="44" spans="2:17">
      <c r="B44" s="41">
        <v>46146</v>
      </c>
      <c r="C44" s="42" t="s">
        <v>444</v>
      </c>
      <c r="D44" s="42" t="s">
        <v>626</v>
      </c>
      <c r="E44" s="42"/>
      <c r="F44" s="42" t="s">
        <v>267</v>
      </c>
      <c r="G44" s="42" t="s">
        <v>240</v>
      </c>
      <c r="H44" s="61"/>
      <c r="I44" s="61">
        <v>907939</v>
      </c>
      <c r="J44" s="61">
        <f t="shared" si="2"/>
        <v>8290980.5</v>
      </c>
    </row>
    <row r="45" spans="2:17">
      <c r="B45" s="41">
        <v>46150</v>
      </c>
      <c r="C45" s="42">
        <v>34</v>
      </c>
      <c r="D45" s="42">
        <v>408</v>
      </c>
      <c r="E45" s="42">
        <v>828</v>
      </c>
      <c r="F45" s="42" t="s">
        <v>267</v>
      </c>
      <c r="G45" s="42" t="s">
        <v>240</v>
      </c>
      <c r="H45" s="61"/>
      <c r="I45" s="61">
        <v>209952</v>
      </c>
      <c r="J45" s="61">
        <f t="shared" si="2"/>
        <v>8081028.5</v>
      </c>
    </row>
    <row r="46" spans="2:17">
      <c r="B46" s="41">
        <v>46146</v>
      </c>
      <c r="C46" s="42">
        <v>20</v>
      </c>
      <c r="D46" s="42">
        <v>473</v>
      </c>
      <c r="E46" s="42">
        <v>1022</v>
      </c>
      <c r="F46" s="42" t="s">
        <v>242</v>
      </c>
      <c r="G46" s="42" t="s">
        <v>242</v>
      </c>
      <c r="H46" s="61"/>
      <c r="I46" s="61">
        <v>208926</v>
      </c>
      <c r="J46" s="61">
        <f t="shared" si="2"/>
        <v>7872102.5</v>
      </c>
    </row>
    <row r="47" spans="2:17">
      <c r="B47" s="320" t="s">
        <v>129</v>
      </c>
      <c r="C47" s="321"/>
      <c r="D47" s="321"/>
      <c r="E47" s="321"/>
      <c r="F47" s="321"/>
      <c r="G47" s="321"/>
      <c r="H47" s="321"/>
      <c r="I47" s="321"/>
      <c r="J47" s="322"/>
    </row>
    <row r="48" spans="2:17">
      <c r="B48" s="41"/>
      <c r="C48" s="42"/>
      <c r="D48" s="42"/>
      <c r="E48" s="42"/>
      <c r="F48" s="42" t="s">
        <v>171</v>
      </c>
      <c r="G48" s="42" t="s">
        <v>171</v>
      </c>
      <c r="H48" s="11">
        <f>SUBVENCION!M11+SUBVENCION!N11</f>
        <v>12610519</v>
      </c>
      <c r="I48" s="61"/>
      <c r="J48" s="61">
        <f>+J46+H48-I48</f>
        <v>20482621.5</v>
      </c>
      <c r="L48" s="7" t="s">
        <v>129</v>
      </c>
      <c r="M48" s="97" t="s">
        <v>5</v>
      </c>
      <c r="N48" s="97" t="s">
        <v>214</v>
      </c>
      <c r="O48" s="97" t="s">
        <v>212</v>
      </c>
      <c r="P48" s="97" t="s">
        <v>213</v>
      </c>
      <c r="Q48" s="97" t="s">
        <v>7</v>
      </c>
    </row>
    <row r="49" spans="1:17">
      <c r="B49" s="41"/>
      <c r="C49" s="42"/>
      <c r="D49" s="42"/>
      <c r="E49" s="42"/>
      <c r="F49" s="42" t="s">
        <v>199</v>
      </c>
      <c r="G49" s="42" t="s">
        <v>199</v>
      </c>
      <c r="H49" s="61"/>
      <c r="I49" s="61">
        <v>10218305</v>
      </c>
      <c r="J49" s="61">
        <f>+J48+H49-I49</f>
        <v>10264316.5</v>
      </c>
      <c r="M49" s="37">
        <f>H48</f>
        <v>12610519</v>
      </c>
      <c r="N49" s="51">
        <f>M49*10%</f>
        <v>1261051.9000000001</v>
      </c>
      <c r="O49" s="51">
        <f>I49</f>
        <v>10218305</v>
      </c>
      <c r="P49" s="51">
        <f>I50</f>
        <v>650000</v>
      </c>
      <c r="Q49" s="303">
        <f>M49-N49-O49-P49</f>
        <v>481162.09999999963</v>
      </c>
    </row>
    <row r="50" spans="1:17">
      <c r="B50" s="41">
        <v>46174</v>
      </c>
      <c r="C50" s="42">
        <v>36</v>
      </c>
      <c r="D50" s="42" t="s">
        <v>288</v>
      </c>
      <c r="E50" s="42"/>
      <c r="F50" s="42" t="s">
        <v>222</v>
      </c>
      <c r="G50" s="42" t="s">
        <v>478</v>
      </c>
      <c r="H50" s="61"/>
      <c r="I50" s="61">
        <v>650000</v>
      </c>
      <c r="J50" s="61">
        <f t="shared" ref="J50:J51" si="3">+J49+H50-I50</f>
        <v>9614316.5</v>
      </c>
    </row>
    <row r="51" spans="1:17">
      <c r="B51" s="41"/>
      <c r="C51" s="42"/>
      <c r="D51" s="42"/>
      <c r="E51" s="42"/>
      <c r="F51" s="42"/>
      <c r="G51" s="42"/>
      <c r="H51" s="61"/>
      <c r="I51" s="61"/>
      <c r="J51" s="61">
        <f t="shared" si="3"/>
        <v>9614316.5</v>
      </c>
    </row>
    <row r="52" spans="1:17">
      <c r="A52" s="5"/>
      <c r="B52" s="320" t="s">
        <v>65</v>
      </c>
      <c r="C52" s="321"/>
      <c r="D52" s="321"/>
      <c r="E52" s="321"/>
      <c r="F52" s="321"/>
      <c r="G52" s="321"/>
      <c r="H52" s="321"/>
      <c r="I52" s="321"/>
      <c r="J52" s="322"/>
    </row>
    <row r="53" spans="1:17">
      <c r="A53" s="5"/>
      <c r="B53" s="41"/>
      <c r="C53" s="42"/>
      <c r="D53" s="42"/>
      <c r="E53" s="42"/>
      <c r="F53" s="42" t="s">
        <v>171</v>
      </c>
      <c r="G53" s="42" t="s">
        <v>171</v>
      </c>
      <c r="H53" s="271">
        <f>+SUBVENCION!O11+SUBVENCION!P11</f>
        <v>12107410</v>
      </c>
      <c r="I53" s="61"/>
      <c r="J53" s="61">
        <f>+J51+H53-I53</f>
        <v>21721726.5</v>
      </c>
      <c r="L53" s="7" t="s">
        <v>65</v>
      </c>
      <c r="M53" s="97" t="s">
        <v>5</v>
      </c>
      <c r="N53" s="97" t="s">
        <v>214</v>
      </c>
      <c r="O53" s="97" t="s">
        <v>212</v>
      </c>
      <c r="P53" s="97" t="s">
        <v>213</v>
      </c>
      <c r="Q53" s="97" t="s">
        <v>7</v>
      </c>
    </row>
    <row r="54" spans="1:17">
      <c r="A54" s="5"/>
      <c r="B54" s="41"/>
      <c r="C54" s="42"/>
      <c r="D54" s="42"/>
      <c r="E54" s="42"/>
      <c r="F54" s="42" t="s">
        <v>199</v>
      </c>
      <c r="G54" s="42" t="s">
        <v>199</v>
      </c>
      <c r="H54" s="61"/>
      <c r="I54" s="271">
        <v>10136103</v>
      </c>
      <c r="J54" s="61">
        <f>+J53+H54-I54</f>
        <v>11585623.5</v>
      </c>
      <c r="M54" s="37">
        <f>+H53</f>
        <v>12107410</v>
      </c>
      <c r="N54" s="51">
        <f>+M54*10%</f>
        <v>1210741</v>
      </c>
      <c r="O54" s="51">
        <f>+I54</f>
        <v>10136103</v>
      </c>
      <c r="P54" s="51">
        <f>I55+I56+I57</f>
        <v>617590</v>
      </c>
      <c r="Q54" s="303">
        <f>+M54-N54-O54-P54</f>
        <v>142976</v>
      </c>
    </row>
    <row r="55" spans="1:17">
      <c r="A55" s="5"/>
      <c r="B55" s="41">
        <v>46181</v>
      </c>
      <c r="C55" s="42">
        <v>37</v>
      </c>
      <c r="D55" s="42">
        <v>612</v>
      </c>
      <c r="E55" s="42">
        <v>1033</v>
      </c>
      <c r="F55" s="42" t="s">
        <v>267</v>
      </c>
      <c r="G55" s="42" t="s">
        <v>240</v>
      </c>
      <c r="H55" s="61"/>
      <c r="I55" s="61">
        <v>205100</v>
      </c>
      <c r="J55" s="61">
        <f t="shared" ref="J55:J57" si="4">+J54+H55-I55</f>
        <v>11380523.5</v>
      </c>
    </row>
    <row r="56" spans="1:17">
      <c r="A56" s="5"/>
      <c r="B56" s="41">
        <v>46181</v>
      </c>
      <c r="C56" s="42">
        <v>38</v>
      </c>
      <c r="D56" s="42">
        <v>613</v>
      </c>
      <c r="E56" s="42">
        <v>1031</v>
      </c>
      <c r="F56" s="42" t="s">
        <v>267</v>
      </c>
      <c r="G56" s="42" t="s">
        <v>516</v>
      </c>
      <c r="H56" s="61"/>
      <c r="I56" s="61">
        <v>203490</v>
      </c>
      <c r="J56" s="61">
        <f t="shared" si="4"/>
        <v>11177033.5</v>
      </c>
    </row>
    <row r="57" spans="1:17">
      <c r="A57" s="5"/>
      <c r="B57" s="41">
        <v>46209</v>
      </c>
      <c r="C57" s="42">
        <v>40</v>
      </c>
      <c r="D57" s="42">
        <v>614</v>
      </c>
      <c r="E57" s="42">
        <v>1078</v>
      </c>
      <c r="F57" s="42" t="s">
        <v>242</v>
      </c>
      <c r="G57" s="42" t="s">
        <v>242</v>
      </c>
      <c r="H57" s="61"/>
      <c r="I57" s="61">
        <v>209000</v>
      </c>
      <c r="J57" s="61">
        <f t="shared" si="4"/>
        <v>10968033.5</v>
      </c>
    </row>
    <row r="58" spans="1:17">
      <c r="A58" s="5"/>
      <c r="B58" s="320" t="s">
        <v>130</v>
      </c>
      <c r="C58" s="321"/>
      <c r="D58" s="321"/>
      <c r="E58" s="321"/>
      <c r="F58" s="321"/>
      <c r="G58" s="321"/>
      <c r="H58" s="321"/>
      <c r="I58" s="321"/>
      <c r="J58" s="322"/>
    </row>
    <row r="59" spans="1:17">
      <c r="A59" s="5"/>
      <c r="B59" s="41"/>
      <c r="C59" s="42"/>
      <c r="D59" s="42"/>
      <c r="E59" s="42"/>
      <c r="F59" s="42" t="s">
        <v>171</v>
      </c>
      <c r="G59" s="42" t="s">
        <v>171</v>
      </c>
      <c r="H59" s="37">
        <f>+SUBVENCION!Q11+SUBVENCION!R11</f>
        <v>11912843</v>
      </c>
      <c r="I59" s="61"/>
      <c r="J59" s="61">
        <f>+J57+H59-I59</f>
        <v>22880876.5</v>
      </c>
      <c r="L59" s="7" t="s">
        <v>130</v>
      </c>
      <c r="M59" s="97" t="s">
        <v>5</v>
      </c>
      <c r="N59" s="97" t="s">
        <v>214</v>
      </c>
      <c r="O59" s="97" t="s">
        <v>212</v>
      </c>
      <c r="P59" s="97" t="s">
        <v>213</v>
      </c>
      <c r="Q59" s="97" t="s">
        <v>7</v>
      </c>
    </row>
    <row r="60" spans="1:17">
      <c r="A60" s="5"/>
      <c r="B60" s="41"/>
      <c r="C60" s="42"/>
      <c r="D60" s="42"/>
      <c r="E60" s="42"/>
      <c r="F60" s="42" t="s">
        <v>199</v>
      </c>
      <c r="G60" s="42" t="s">
        <v>199</v>
      </c>
      <c r="H60" s="37"/>
      <c r="I60" s="61">
        <v>9554945</v>
      </c>
      <c r="J60" s="61">
        <f>+J59+H60-I60</f>
        <v>13325931.5</v>
      </c>
      <c r="M60" s="37">
        <f>+H59</f>
        <v>11912843</v>
      </c>
      <c r="N60" s="51">
        <f>+M60*10%</f>
        <v>1191284.3</v>
      </c>
      <c r="O60" s="51">
        <f>+I60</f>
        <v>9554945</v>
      </c>
      <c r="P60" s="51">
        <f>+I61+I62</f>
        <v>214920</v>
      </c>
      <c r="Q60" s="303">
        <f>+M60-N60-O60-P60</f>
        <v>951693.69999999925</v>
      </c>
    </row>
    <row r="61" spans="1:17">
      <c r="A61" s="5"/>
      <c r="B61" s="41">
        <v>46248</v>
      </c>
      <c r="C61" s="42" t="s">
        <v>647</v>
      </c>
      <c r="D61" s="42" t="s">
        <v>648</v>
      </c>
      <c r="E61" s="42" t="s">
        <v>693</v>
      </c>
      <c r="F61" s="42" t="s">
        <v>267</v>
      </c>
      <c r="G61" s="45" t="s">
        <v>458</v>
      </c>
      <c r="H61" s="37"/>
      <c r="I61" s="61">
        <v>214920</v>
      </c>
      <c r="J61" s="61">
        <f t="shared" ref="J61:J62" si="5">+J60+H61-I61</f>
        <v>13111011.5</v>
      </c>
    </row>
    <row r="62" spans="1:17">
      <c r="A62" s="5"/>
      <c r="B62" s="41"/>
      <c r="C62" s="42"/>
      <c r="D62" s="42"/>
      <c r="E62" s="42"/>
      <c r="F62" s="42"/>
      <c r="G62" s="45"/>
      <c r="H62" s="37"/>
      <c r="I62" s="61"/>
      <c r="J62" s="61">
        <f t="shared" si="5"/>
        <v>13111011.5</v>
      </c>
    </row>
    <row r="63" spans="1:17">
      <c r="A63" s="5"/>
      <c r="B63" s="320" t="s">
        <v>168</v>
      </c>
      <c r="C63" s="321"/>
      <c r="D63" s="321"/>
      <c r="E63" s="321"/>
      <c r="F63" s="321"/>
      <c r="G63" s="321"/>
      <c r="H63" s="321"/>
      <c r="I63" s="321"/>
      <c r="J63" s="322"/>
    </row>
    <row r="64" spans="1:17">
      <c r="A64" s="5"/>
      <c r="B64" s="41"/>
      <c r="C64" s="42"/>
      <c r="D64" s="42"/>
      <c r="E64" s="42"/>
      <c r="F64" s="42" t="s">
        <v>171</v>
      </c>
      <c r="G64" s="42" t="s">
        <v>171</v>
      </c>
      <c r="H64" s="61">
        <f>+SUBVENCION!S11+SUBVENCION!T11</f>
        <v>11835191</v>
      </c>
      <c r="I64" s="61"/>
      <c r="J64" s="61">
        <f>+J62+H64-I64</f>
        <v>24946202.5</v>
      </c>
      <c r="L64" s="7" t="s">
        <v>131</v>
      </c>
      <c r="M64" s="97" t="s">
        <v>5</v>
      </c>
      <c r="N64" s="97" t="s">
        <v>214</v>
      </c>
      <c r="O64" s="97" t="s">
        <v>212</v>
      </c>
      <c r="P64" s="97" t="s">
        <v>213</v>
      </c>
      <c r="Q64" s="97" t="s">
        <v>7</v>
      </c>
    </row>
    <row r="65" spans="1:17">
      <c r="A65" s="5"/>
      <c r="B65" s="41"/>
      <c r="C65" s="42"/>
      <c r="D65" s="42"/>
      <c r="E65" s="42"/>
      <c r="F65" s="42" t="s">
        <v>199</v>
      </c>
      <c r="G65" s="42" t="s">
        <v>199</v>
      </c>
      <c r="H65" s="61"/>
      <c r="I65" s="61">
        <v>9756984</v>
      </c>
      <c r="J65" s="61">
        <f>+J64+H65-I65</f>
        <v>15189218.5</v>
      </c>
      <c r="M65" s="37">
        <f>+H64</f>
        <v>11835191</v>
      </c>
      <c r="N65" s="51">
        <f>+M65*10%</f>
        <v>1183519.1000000001</v>
      </c>
      <c r="O65" s="51">
        <f>+I65</f>
        <v>9756984</v>
      </c>
      <c r="P65" s="51">
        <f>SUM(I66)</f>
        <v>0</v>
      </c>
      <c r="Q65" s="303">
        <f>+M65-N65-O65-P65</f>
        <v>894687.90000000037</v>
      </c>
    </row>
    <row r="66" spans="1:17">
      <c r="A66" s="5"/>
      <c r="B66" s="41"/>
      <c r="C66" s="42"/>
      <c r="D66" s="42"/>
      <c r="E66" s="42"/>
      <c r="F66" s="42"/>
      <c r="G66" s="45"/>
      <c r="H66" s="61"/>
      <c r="I66" s="61"/>
      <c r="J66" s="61">
        <f>+J65+H66-I66</f>
        <v>15189218.5</v>
      </c>
    </row>
    <row r="67" spans="1:17">
      <c r="A67" s="5"/>
      <c r="B67" s="320" t="s">
        <v>132</v>
      </c>
      <c r="C67" s="321"/>
      <c r="D67" s="321"/>
      <c r="E67" s="321"/>
      <c r="F67" s="321"/>
      <c r="G67" s="321"/>
      <c r="H67" s="321"/>
      <c r="I67" s="321"/>
      <c r="J67" s="322"/>
    </row>
    <row r="68" spans="1:17">
      <c r="A68" s="5"/>
      <c r="B68" s="41"/>
      <c r="C68" s="42"/>
      <c r="D68" s="42"/>
      <c r="E68" s="42"/>
      <c r="F68" s="42" t="s">
        <v>171</v>
      </c>
      <c r="G68" s="42" t="s">
        <v>171</v>
      </c>
      <c r="H68" s="11">
        <f>+SUBVENCION!U11+SUBVENCION!V11</f>
        <v>0</v>
      </c>
      <c r="I68" s="11"/>
      <c r="J68" s="43">
        <f>+J66+H68-I68</f>
        <v>15189218.5</v>
      </c>
      <c r="L68" s="7" t="s">
        <v>132</v>
      </c>
      <c r="M68" s="97" t="s">
        <v>5</v>
      </c>
      <c r="N68" s="97" t="s">
        <v>214</v>
      </c>
      <c r="O68" s="97" t="s">
        <v>212</v>
      </c>
      <c r="P68" s="97" t="s">
        <v>213</v>
      </c>
      <c r="Q68" s="97" t="s">
        <v>7</v>
      </c>
    </row>
    <row r="69" spans="1:17">
      <c r="A69" s="5"/>
      <c r="B69" s="41"/>
      <c r="C69" s="42"/>
      <c r="D69" s="42"/>
      <c r="E69" s="42"/>
      <c r="F69" s="42" t="s">
        <v>199</v>
      </c>
      <c r="G69" s="42" t="s">
        <v>199</v>
      </c>
      <c r="H69" s="11"/>
      <c r="I69" s="11"/>
      <c r="J69" s="43">
        <f>+J68+H69-I69</f>
        <v>15189218.5</v>
      </c>
      <c r="M69" s="37">
        <f>+H68</f>
        <v>0</v>
      </c>
      <c r="N69" s="51">
        <f>+M69*10%</f>
        <v>0</v>
      </c>
      <c r="O69" s="51">
        <f>+I69</f>
        <v>0</v>
      </c>
      <c r="P69" s="51"/>
      <c r="Q69" s="153">
        <f>+M69-N69-O69-P69</f>
        <v>0</v>
      </c>
    </row>
    <row r="70" spans="1:17">
      <c r="A70" s="5"/>
      <c r="B70" s="41"/>
      <c r="C70" s="42"/>
      <c r="D70" s="42"/>
      <c r="E70" s="42"/>
      <c r="F70" s="42"/>
      <c r="G70" s="45"/>
      <c r="H70" s="11"/>
      <c r="I70" s="11"/>
      <c r="J70" s="43">
        <f t="shared" ref="J70:J74" si="6">+J69+H70-I70</f>
        <v>15189218.5</v>
      </c>
    </row>
    <row r="71" spans="1:17">
      <c r="A71" s="5"/>
      <c r="B71" s="41"/>
      <c r="C71" s="42"/>
      <c r="D71" s="42"/>
      <c r="E71" s="42"/>
      <c r="F71" s="42"/>
      <c r="G71" s="45"/>
      <c r="H71" s="11"/>
      <c r="I71" s="11"/>
      <c r="J71" s="43">
        <f t="shared" si="6"/>
        <v>15189218.5</v>
      </c>
    </row>
    <row r="72" spans="1:17">
      <c r="A72" s="5"/>
      <c r="B72" s="41"/>
      <c r="C72" s="42"/>
      <c r="D72" s="42"/>
      <c r="E72" s="42"/>
      <c r="F72" s="42"/>
      <c r="G72" s="45"/>
      <c r="H72" s="61"/>
      <c r="I72" s="61"/>
      <c r="J72" s="43">
        <f t="shared" si="6"/>
        <v>15189218.5</v>
      </c>
    </row>
    <row r="73" spans="1:17">
      <c r="A73" s="5"/>
      <c r="B73" s="41"/>
      <c r="C73" s="42"/>
      <c r="D73" s="42"/>
      <c r="E73" s="42"/>
      <c r="F73" s="42"/>
      <c r="G73" s="45"/>
      <c r="H73" s="61"/>
      <c r="I73" s="61"/>
      <c r="J73" s="43">
        <f t="shared" si="6"/>
        <v>15189218.5</v>
      </c>
    </row>
    <row r="74" spans="1:17">
      <c r="A74" s="5"/>
      <c r="B74" s="41"/>
      <c r="C74" s="42"/>
      <c r="D74" s="42"/>
      <c r="E74" s="42"/>
      <c r="F74" s="42"/>
      <c r="G74" s="45"/>
      <c r="H74" s="61"/>
      <c r="I74" s="61"/>
      <c r="J74" s="43">
        <f t="shared" si="6"/>
        <v>15189218.5</v>
      </c>
    </row>
    <row r="75" spans="1:17">
      <c r="A75" s="5"/>
      <c r="B75" s="320" t="s">
        <v>133</v>
      </c>
      <c r="C75" s="321"/>
      <c r="D75" s="321"/>
      <c r="E75" s="321"/>
      <c r="F75" s="321"/>
      <c r="G75" s="321"/>
      <c r="H75" s="321"/>
      <c r="I75" s="321"/>
      <c r="J75" s="322"/>
    </row>
    <row r="76" spans="1:17">
      <c r="A76" s="5"/>
      <c r="B76" s="41"/>
      <c r="C76" s="42"/>
      <c r="D76" s="42"/>
      <c r="E76" s="42"/>
      <c r="F76" s="42" t="s">
        <v>171</v>
      </c>
      <c r="G76" s="42" t="s">
        <v>171</v>
      </c>
      <c r="H76" s="61">
        <f>+SUBVENCION!W11+SUBVENCION!X11</f>
        <v>0</v>
      </c>
      <c r="I76" s="61"/>
      <c r="J76" s="43">
        <f>+J74+H76-I76</f>
        <v>15189218.5</v>
      </c>
      <c r="L76" s="7" t="s">
        <v>133</v>
      </c>
      <c r="M76" s="97" t="s">
        <v>5</v>
      </c>
      <c r="N76" s="97" t="s">
        <v>214</v>
      </c>
      <c r="O76" s="97" t="s">
        <v>212</v>
      </c>
      <c r="P76" s="97" t="s">
        <v>213</v>
      </c>
      <c r="Q76" s="97" t="s">
        <v>7</v>
      </c>
    </row>
    <row r="77" spans="1:17">
      <c r="A77" s="5"/>
      <c r="B77" s="41"/>
      <c r="C77" s="42"/>
      <c r="D77" s="42"/>
      <c r="E77" s="42"/>
      <c r="F77" s="42" t="s">
        <v>199</v>
      </c>
      <c r="G77" s="42" t="s">
        <v>199</v>
      </c>
      <c r="H77" s="61"/>
      <c r="I77" s="61"/>
      <c r="J77" s="43">
        <f t="shared" ref="J77:J111" si="7">+J76+H77-I77</f>
        <v>15189218.5</v>
      </c>
      <c r="M77" s="37">
        <f>+H76</f>
        <v>0</v>
      </c>
      <c r="N77" s="51">
        <f>+M77*10%</f>
        <v>0</v>
      </c>
      <c r="O77" s="51">
        <f>+I77</f>
        <v>0</v>
      </c>
      <c r="P77" s="51"/>
      <c r="Q77" s="153">
        <f>+M77-N77-O77-P77</f>
        <v>0</v>
      </c>
    </row>
    <row r="78" spans="1:17">
      <c r="A78" s="5"/>
      <c r="B78" s="41"/>
      <c r="C78" s="42"/>
      <c r="D78" s="42"/>
      <c r="E78" s="42"/>
      <c r="F78" s="42"/>
      <c r="G78" s="45"/>
      <c r="H78" s="61"/>
      <c r="I78" s="61"/>
      <c r="J78" s="43">
        <f>+J77+H78-I78</f>
        <v>15189218.5</v>
      </c>
    </row>
    <row r="79" spans="1:17">
      <c r="A79" s="5"/>
      <c r="B79" s="86"/>
      <c r="C79" s="42"/>
      <c r="D79" s="42"/>
      <c r="E79" s="42"/>
      <c r="F79" s="42"/>
      <c r="G79" s="45"/>
      <c r="H79" s="61"/>
      <c r="I79" s="61"/>
      <c r="J79" s="43">
        <f>+J78+H79-I79</f>
        <v>15189218.5</v>
      </c>
    </row>
    <row r="80" spans="1:17">
      <c r="A80" s="5"/>
      <c r="B80" s="41"/>
      <c r="C80" s="42"/>
      <c r="D80" s="42"/>
      <c r="E80" s="42"/>
      <c r="F80" s="42"/>
      <c r="G80" s="45"/>
      <c r="H80" s="61"/>
      <c r="I80" s="61"/>
      <c r="J80" s="43">
        <f>+J79+H80-I80</f>
        <v>15189218.5</v>
      </c>
    </row>
    <row r="81" spans="1:17">
      <c r="A81" s="5"/>
      <c r="B81" s="41"/>
      <c r="C81" s="42"/>
      <c r="D81" s="42"/>
      <c r="E81" s="42"/>
      <c r="F81" s="42"/>
      <c r="G81" s="45"/>
      <c r="H81" s="61"/>
      <c r="I81" s="61"/>
      <c r="J81" s="43">
        <f>+J80+H81-I81</f>
        <v>15189218.5</v>
      </c>
    </row>
    <row r="82" spans="1:17">
      <c r="A82" s="5"/>
      <c r="B82" s="41"/>
      <c r="C82" s="42"/>
      <c r="D82" s="42"/>
      <c r="E82" s="42"/>
      <c r="F82" s="42"/>
      <c r="G82" s="42"/>
      <c r="H82" s="37"/>
      <c r="I82" s="37"/>
      <c r="J82" s="43">
        <f t="shared" si="7"/>
        <v>15189218.5</v>
      </c>
    </row>
    <row r="83" spans="1:17">
      <c r="A83" s="5"/>
      <c r="B83" s="41"/>
      <c r="C83" s="42"/>
      <c r="D83" s="42"/>
      <c r="E83" s="42"/>
      <c r="F83" s="42"/>
      <c r="G83" s="42"/>
      <c r="H83" s="37"/>
      <c r="I83" s="37"/>
      <c r="J83" s="43">
        <f t="shared" si="7"/>
        <v>15189218.5</v>
      </c>
    </row>
    <row r="84" spans="1:17">
      <c r="A84" s="5"/>
      <c r="B84" s="41"/>
      <c r="C84" s="42"/>
      <c r="D84" s="42"/>
      <c r="E84" s="42"/>
      <c r="F84" s="42"/>
      <c r="G84" s="42"/>
      <c r="H84" s="37"/>
      <c r="I84" s="37"/>
      <c r="J84" s="43">
        <f t="shared" si="7"/>
        <v>15189218.5</v>
      </c>
    </row>
    <row r="85" spans="1:17">
      <c r="A85" s="5"/>
      <c r="B85" s="41"/>
      <c r="C85" s="42"/>
      <c r="D85" s="42"/>
      <c r="E85" s="42"/>
      <c r="F85" s="42"/>
      <c r="G85" s="45"/>
      <c r="H85" s="37"/>
      <c r="I85" s="37"/>
      <c r="J85" s="43">
        <f t="shared" si="7"/>
        <v>15189218.5</v>
      </c>
    </row>
    <row r="86" spans="1:17">
      <c r="A86" s="5"/>
      <c r="B86" s="41"/>
      <c r="C86" s="42"/>
      <c r="D86" s="42"/>
      <c r="E86" s="42"/>
      <c r="F86" s="42"/>
      <c r="G86" s="45"/>
      <c r="H86" s="37"/>
      <c r="I86" s="37"/>
      <c r="J86" s="43">
        <f t="shared" si="7"/>
        <v>15189218.5</v>
      </c>
    </row>
    <row r="87" spans="1:17">
      <c r="A87" s="5"/>
      <c r="B87" s="41"/>
      <c r="C87" s="42"/>
      <c r="D87" s="42"/>
      <c r="E87" s="42"/>
      <c r="F87" s="42"/>
      <c r="G87" s="45"/>
      <c r="H87" s="37"/>
      <c r="I87" s="37"/>
      <c r="J87" s="43">
        <f t="shared" si="7"/>
        <v>15189218.5</v>
      </c>
    </row>
    <row r="88" spans="1:17">
      <c r="A88" s="5"/>
      <c r="B88" s="41"/>
      <c r="C88" s="42"/>
      <c r="D88" s="42"/>
      <c r="E88" s="42"/>
      <c r="F88" s="42"/>
      <c r="G88" s="45"/>
      <c r="H88" s="37"/>
      <c r="I88" s="37"/>
      <c r="J88" s="43">
        <f t="shared" si="7"/>
        <v>15189218.5</v>
      </c>
    </row>
    <row r="89" spans="1:17">
      <c r="A89" s="5"/>
      <c r="B89" s="41"/>
      <c r="C89" s="42"/>
      <c r="D89" s="42"/>
      <c r="E89" s="42"/>
      <c r="F89" s="42"/>
      <c r="G89" s="45"/>
      <c r="H89" s="37"/>
      <c r="I89" s="37"/>
      <c r="J89" s="43">
        <f t="shared" si="7"/>
        <v>15189218.5</v>
      </c>
    </row>
    <row r="90" spans="1:17">
      <c r="A90" s="5"/>
      <c r="B90" s="41"/>
      <c r="C90" s="42"/>
      <c r="D90" s="42"/>
      <c r="E90" s="42"/>
      <c r="F90" s="42"/>
      <c r="G90" s="45"/>
      <c r="H90" s="37"/>
      <c r="I90" s="37"/>
      <c r="J90" s="43">
        <f t="shared" si="7"/>
        <v>15189218.5</v>
      </c>
    </row>
    <row r="91" spans="1:17">
      <c r="A91" s="5"/>
      <c r="B91" s="41"/>
      <c r="C91" s="42"/>
      <c r="D91" s="42"/>
      <c r="E91" s="42"/>
      <c r="F91" s="42"/>
      <c r="G91" s="42"/>
      <c r="H91" s="37"/>
      <c r="I91" s="37"/>
      <c r="J91" s="43">
        <f t="shared" si="7"/>
        <v>15189218.5</v>
      </c>
    </row>
    <row r="92" spans="1:17">
      <c r="A92" s="5"/>
      <c r="B92" s="41"/>
      <c r="C92" s="42"/>
      <c r="D92" s="42"/>
      <c r="E92" s="42"/>
      <c r="F92" s="42"/>
      <c r="G92" s="45"/>
      <c r="H92" s="37"/>
      <c r="I92" s="37"/>
      <c r="J92" s="43">
        <f t="shared" si="7"/>
        <v>15189218.5</v>
      </c>
    </row>
    <row r="93" spans="1:17">
      <c r="A93" s="5"/>
      <c r="B93" s="320" t="s">
        <v>134</v>
      </c>
      <c r="C93" s="321"/>
      <c r="D93" s="321"/>
      <c r="E93" s="321"/>
      <c r="F93" s="321"/>
      <c r="G93" s="321"/>
      <c r="H93" s="321"/>
      <c r="I93" s="321"/>
      <c r="J93" s="322"/>
    </row>
    <row r="94" spans="1:17">
      <c r="A94" s="5"/>
      <c r="B94" s="41"/>
      <c r="C94" s="42"/>
      <c r="D94" s="42"/>
      <c r="E94" s="42"/>
      <c r="F94" s="42" t="s">
        <v>171</v>
      </c>
      <c r="G94" s="42" t="s">
        <v>171</v>
      </c>
      <c r="H94" s="61">
        <f>+SUBVENCION!Y11+SUBVENCION!Z11</f>
        <v>0</v>
      </c>
      <c r="I94" s="61"/>
      <c r="J94" s="43">
        <f>+J92+H94-I94</f>
        <v>15189218.5</v>
      </c>
      <c r="L94" s="7" t="s">
        <v>134</v>
      </c>
      <c r="M94" s="97" t="s">
        <v>5</v>
      </c>
      <c r="N94" s="97" t="s">
        <v>214</v>
      </c>
      <c r="O94" s="97" t="s">
        <v>212</v>
      </c>
      <c r="P94" s="97" t="s">
        <v>213</v>
      </c>
      <c r="Q94" s="97" t="s">
        <v>7</v>
      </c>
    </row>
    <row r="95" spans="1:17">
      <c r="A95" s="5"/>
      <c r="B95" s="41"/>
      <c r="C95" s="42"/>
      <c r="D95" s="42"/>
      <c r="E95" s="42"/>
      <c r="F95" s="42" t="s">
        <v>199</v>
      </c>
      <c r="G95" s="42" t="s">
        <v>199</v>
      </c>
      <c r="H95" s="61"/>
      <c r="I95" s="61"/>
      <c r="J95" s="43">
        <f t="shared" si="7"/>
        <v>15189218.5</v>
      </c>
      <c r="M95" s="37">
        <f>+H94</f>
        <v>0</v>
      </c>
      <c r="N95" s="51">
        <f>+M95*10%</f>
        <v>0</v>
      </c>
      <c r="O95" s="51">
        <f>+I95</f>
        <v>0</v>
      </c>
      <c r="P95" s="51">
        <v>0</v>
      </c>
      <c r="Q95" s="153">
        <f>+M95-N95-O95-P95</f>
        <v>0</v>
      </c>
    </row>
    <row r="96" spans="1:17">
      <c r="A96" s="5"/>
      <c r="B96" s="41"/>
      <c r="C96" s="42"/>
      <c r="D96" s="42"/>
      <c r="E96" s="42"/>
      <c r="F96" s="42"/>
      <c r="G96" s="45"/>
      <c r="H96" s="61"/>
      <c r="I96" s="61"/>
      <c r="J96" s="43">
        <f t="shared" si="7"/>
        <v>15189218.5</v>
      </c>
    </row>
    <row r="97" spans="1:17">
      <c r="A97" s="5"/>
      <c r="B97" s="41"/>
      <c r="C97" s="42"/>
      <c r="D97" s="42"/>
      <c r="E97" s="42"/>
      <c r="F97" s="42"/>
      <c r="G97" s="42"/>
      <c r="H97" s="61"/>
      <c r="I97" s="61"/>
      <c r="J97" s="43">
        <f t="shared" si="7"/>
        <v>15189218.5</v>
      </c>
    </row>
    <row r="98" spans="1:17">
      <c r="A98" s="5"/>
      <c r="B98" s="41"/>
      <c r="C98" s="42"/>
      <c r="D98" s="42"/>
      <c r="E98" s="42"/>
      <c r="F98" s="42"/>
      <c r="G98" s="42"/>
      <c r="H98" s="61"/>
      <c r="I98" s="61"/>
      <c r="J98" s="43">
        <f t="shared" si="7"/>
        <v>15189218.5</v>
      </c>
    </row>
    <row r="99" spans="1:17">
      <c r="A99" s="5"/>
      <c r="B99" s="41"/>
      <c r="C99" s="42"/>
      <c r="D99" s="42"/>
      <c r="E99" s="42"/>
      <c r="F99" s="42"/>
      <c r="G99" s="45"/>
      <c r="H99" s="61"/>
      <c r="I99" s="61"/>
      <c r="J99" s="43">
        <f t="shared" si="7"/>
        <v>15189218.5</v>
      </c>
    </row>
    <row r="100" spans="1:17">
      <c r="A100" s="5"/>
      <c r="B100" s="41"/>
      <c r="C100" s="42"/>
      <c r="D100" s="42"/>
      <c r="E100" s="42"/>
      <c r="F100" s="42"/>
      <c r="G100" s="42"/>
      <c r="H100" s="61"/>
      <c r="I100" s="61"/>
      <c r="J100" s="43">
        <f t="shared" si="7"/>
        <v>15189218.5</v>
      </c>
    </row>
    <row r="101" spans="1:17">
      <c r="A101" s="5"/>
      <c r="B101" s="41"/>
      <c r="C101" s="42"/>
      <c r="D101" s="42"/>
      <c r="E101" s="42"/>
      <c r="F101" s="42"/>
      <c r="G101" s="45"/>
      <c r="H101" s="61"/>
      <c r="I101" s="61"/>
      <c r="J101" s="43">
        <f t="shared" si="7"/>
        <v>15189218.5</v>
      </c>
    </row>
    <row r="102" spans="1:17">
      <c r="A102" s="5"/>
      <c r="B102" s="41"/>
      <c r="C102" s="42"/>
      <c r="D102" s="42"/>
      <c r="E102" s="42"/>
      <c r="F102" s="42"/>
      <c r="G102" s="45"/>
      <c r="H102" s="61"/>
      <c r="I102" s="61"/>
      <c r="J102" s="43">
        <f t="shared" si="7"/>
        <v>15189218.5</v>
      </c>
    </row>
    <row r="103" spans="1:17">
      <c r="A103" s="5"/>
      <c r="B103" s="41"/>
      <c r="C103" s="42"/>
      <c r="D103" s="42"/>
      <c r="E103" s="42"/>
      <c r="F103" s="42"/>
      <c r="G103" s="45"/>
      <c r="H103" s="61"/>
      <c r="I103" s="61"/>
      <c r="J103" s="43">
        <f t="shared" si="7"/>
        <v>15189218.5</v>
      </c>
    </row>
    <row r="104" spans="1:17">
      <c r="A104" s="5"/>
      <c r="B104" s="41"/>
      <c r="C104" s="42"/>
      <c r="D104" s="42"/>
      <c r="E104" s="42"/>
      <c r="F104" s="42"/>
      <c r="G104" s="45"/>
      <c r="H104" s="61"/>
      <c r="I104" s="61"/>
      <c r="J104" s="43">
        <f t="shared" si="7"/>
        <v>15189218.5</v>
      </c>
    </row>
    <row r="105" spans="1:17">
      <c r="A105" s="5"/>
      <c r="B105" s="41"/>
      <c r="C105" s="42"/>
      <c r="D105" s="42"/>
      <c r="E105" s="42"/>
      <c r="F105" s="42"/>
      <c r="G105" s="45"/>
      <c r="H105" s="61"/>
      <c r="I105" s="61"/>
      <c r="J105" s="43">
        <f t="shared" si="7"/>
        <v>15189218.5</v>
      </c>
    </row>
    <row r="106" spans="1:17">
      <c r="A106" s="5"/>
      <c r="B106" s="41"/>
      <c r="C106" s="42"/>
      <c r="D106" s="42"/>
      <c r="E106" s="42"/>
      <c r="F106" s="42"/>
      <c r="G106" s="45"/>
      <c r="H106" s="61"/>
      <c r="I106" s="61"/>
      <c r="J106" s="43">
        <f t="shared" si="7"/>
        <v>15189218.5</v>
      </c>
    </row>
    <row r="107" spans="1:17">
      <c r="A107" s="5"/>
      <c r="B107" s="41"/>
      <c r="C107" s="42"/>
      <c r="D107" s="42"/>
      <c r="E107" s="42"/>
      <c r="F107" s="42"/>
      <c r="G107" s="45"/>
      <c r="H107" s="61"/>
      <c r="I107" s="61"/>
      <c r="J107" s="43">
        <f>+J106+H107-I107</f>
        <v>15189218.5</v>
      </c>
    </row>
    <row r="108" spans="1:17">
      <c r="A108" s="5"/>
      <c r="B108" s="19"/>
      <c r="C108" s="18"/>
      <c r="D108" s="18"/>
      <c r="E108" s="18"/>
      <c r="F108" s="18"/>
      <c r="G108" s="10"/>
      <c r="H108" s="11"/>
      <c r="I108" s="61"/>
      <c r="J108" s="43">
        <f t="shared" si="7"/>
        <v>15189218.5</v>
      </c>
    </row>
    <row r="109" spans="1:17">
      <c r="A109" s="5"/>
      <c r="B109" s="19"/>
      <c r="C109" s="18"/>
      <c r="D109" s="18"/>
      <c r="E109" s="18"/>
      <c r="F109" s="18"/>
      <c r="G109" s="10"/>
      <c r="H109" s="11"/>
      <c r="I109" s="61"/>
      <c r="J109" s="43">
        <f t="shared" si="7"/>
        <v>15189218.5</v>
      </c>
    </row>
    <row r="110" spans="1:17">
      <c r="A110" s="5"/>
      <c r="B110" s="19"/>
      <c r="C110" s="18"/>
      <c r="D110" s="18"/>
      <c r="E110" s="18"/>
      <c r="F110" s="18"/>
      <c r="G110" s="10"/>
      <c r="H110" s="11"/>
      <c r="I110" s="61"/>
      <c r="J110" s="43">
        <f t="shared" si="7"/>
        <v>15189218.5</v>
      </c>
    </row>
    <row r="111" spans="1:17">
      <c r="A111" s="5"/>
      <c r="B111" s="19"/>
      <c r="C111" s="18"/>
      <c r="D111" s="18"/>
      <c r="E111" s="18"/>
      <c r="F111" s="18"/>
      <c r="G111" s="10"/>
      <c r="H111" s="11"/>
      <c r="I111" s="61"/>
      <c r="J111" s="43">
        <f t="shared" si="7"/>
        <v>15189218.5</v>
      </c>
    </row>
    <row r="112" spans="1:17">
      <c r="A112" s="5"/>
      <c r="B112" s="19"/>
      <c r="C112" s="18"/>
      <c r="D112" s="18"/>
      <c r="E112" s="18"/>
      <c r="F112" s="79" t="s">
        <v>201</v>
      </c>
      <c r="G112" s="79" t="s">
        <v>201</v>
      </c>
      <c r="H112" s="11">
        <f>(H11+H14+H17+H29+H36+H48+H53+H59+H64+H68+H76+H94)*-10%</f>
        <v>-10806821.4</v>
      </c>
      <c r="I112" s="61"/>
      <c r="J112" s="43">
        <f>J111+H112-I112</f>
        <v>4382397.0999999996</v>
      </c>
      <c r="L112" s="7" t="s">
        <v>215</v>
      </c>
      <c r="M112" s="97" t="s">
        <v>5</v>
      </c>
      <c r="N112" s="97" t="s">
        <v>214</v>
      </c>
      <c r="O112" s="97" t="s">
        <v>212</v>
      </c>
      <c r="P112" s="97" t="s">
        <v>213</v>
      </c>
      <c r="Q112" s="97" t="s">
        <v>7</v>
      </c>
    </row>
    <row r="113" spans="1:17">
      <c r="A113" s="13"/>
      <c r="B113" s="16" t="s">
        <v>8</v>
      </c>
      <c r="C113" s="15" t="s">
        <v>8</v>
      </c>
      <c r="D113" s="15"/>
      <c r="E113" s="15"/>
      <c r="F113" s="15"/>
      <c r="G113" s="15" t="s">
        <v>9</v>
      </c>
      <c r="H113" s="28">
        <f>SUM(H9:H112)</f>
        <v>98271782.099999994</v>
      </c>
      <c r="I113" s="63">
        <f>SUM(I11:I112)</f>
        <v>93889385</v>
      </c>
      <c r="J113" s="28">
        <f>H113-I113</f>
        <v>4382397.099999994</v>
      </c>
      <c r="M113" s="37">
        <f>+H11+H14+H17+H29+H36+H48+H53+H59+H64+H68+H76+H94</f>
        <v>108068214</v>
      </c>
      <c r="N113" s="51">
        <f>+M113*10%</f>
        <v>10806821.4</v>
      </c>
      <c r="O113" s="51">
        <f>+I12+I15+I18+I30+I37+I49+I54+I60+I65+I69+I77+I95</f>
        <v>87549548</v>
      </c>
      <c r="P113" s="51">
        <f>+I19+I20+I21+I22+I23+I24+I25+I31+I32+I33+I38+I34+I39+I40+I41+I42+I43+I44+I45+I46+I50+I55+I56+I57+I61</f>
        <v>6339837</v>
      </c>
      <c r="Q113" s="153">
        <f>+M113-N113-O113-P113</f>
        <v>3372007.599999994</v>
      </c>
    </row>
    <row r="115" spans="1:17">
      <c r="M115" s="128">
        <f t="shared" ref="M115:P115" si="8">+M12+M15+M18+M30+M37+M49+M54+M60+M65+M69+M77+M95</f>
        <v>108068214</v>
      </c>
      <c r="N115" s="128">
        <f t="shared" si="8"/>
        <v>10806821.4</v>
      </c>
      <c r="O115" s="128">
        <f t="shared" si="8"/>
        <v>87549548</v>
      </c>
      <c r="P115" s="128">
        <f t="shared" si="8"/>
        <v>6339837</v>
      </c>
      <c r="Q115" s="128">
        <f>+Q12+Q15+Q18+Q30+Q37+Q49+Q54+Q60+Q65+Q69+Q77+Q95</f>
        <v>3372007.5999999996</v>
      </c>
    </row>
    <row r="117" spans="1:17">
      <c r="P117" s="319"/>
    </row>
    <row r="118" spans="1:17">
      <c r="G118" s="7" t="s">
        <v>210</v>
      </c>
      <c r="H118" s="97" t="s">
        <v>5</v>
      </c>
      <c r="I118" s="97" t="s">
        <v>6</v>
      </c>
      <c r="J118" s="97" t="s">
        <v>198</v>
      </c>
    </row>
    <row r="119" spans="1:17">
      <c r="H119" s="146">
        <f>+H113</f>
        <v>98271782.099999994</v>
      </c>
      <c r="I119" s="43">
        <f>+I113</f>
        <v>93889385</v>
      </c>
      <c r="J119" s="143">
        <f>+I119*100/H119</f>
        <v>95.540533603491056</v>
      </c>
    </row>
  </sheetData>
  <autoFilter ref="A8:J113" xr:uid="{00000000-0009-0000-0000-000007000000}"/>
  <mergeCells count="18">
    <mergeCell ref="B93:J93"/>
    <mergeCell ref="B7:J7"/>
    <mergeCell ref="B10:J10"/>
    <mergeCell ref="B13:J13"/>
    <mergeCell ref="B16:J16"/>
    <mergeCell ref="B28:J28"/>
    <mergeCell ref="B58:J58"/>
    <mergeCell ref="B52:J52"/>
    <mergeCell ref="B47:J47"/>
    <mergeCell ref="B35:J35"/>
    <mergeCell ref="B75:J75"/>
    <mergeCell ref="B67:J67"/>
    <mergeCell ref="B63:J63"/>
    <mergeCell ref="B2:J2"/>
    <mergeCell ref="B3:J3"/>
    <mergeCell ref="B4:J4"/>
    <mergeCell ref="B5:J5"/>
    <mergeCell ref="B6:J6"/>
  </mergeCells>
  <conditionalFormatting sqref="H1:J34 H64:J66 H68:J74 H76:J92">
    <cfRule type="cellIs" dxfId="148" priority="11" operator="lessThan">
      <formula>0</formula>
    </cfRule>
  </conditionalFormatting>
  <conditionalFormatting sqref="H36:J46">
    <cfRule type="cellIs" dxfId="147" priority="5" operator="lessThan">
      <formula>0</formula>
    </cfRule>
  </conditionalFormatting>
  <conditionalFormatting sqref="H48:J51">
    <cfRule type="cellIs" dxfId="146" priority="4" operator="lessThan">
      <formula>0</formula>
    </cfRule>
  </conditionalFormatting>
  <conditionalFormatting sqref="H53:J57">
    <cfRule type="cellIs" dxfId="145" priority="3" operator="lessThan">
      <formula>0</formula>
    </cfRule>
  </conditionalFormatting>
  <conditionalFormatting sqref="H59:J62">
    <cfRule type="cellIs" dxfId="144" priority="2" operator="lessThan">
      <formula>0</formula>
    </cfRule>
  </conditionalFormatting>
  <conditionalFormatting sqref="H94:J117">
    <cfRule type="cellIs" dxfId="143" priority="14" operator="lessThan">
      <formula>0</formula>
    </cfRule>
  </conditionalFormatting>
  <conditionalFormatting sqref="H120:J1048576">
    <cfRule type="cellIs" dxfId="142" priority="16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183"/>
  <sheetViews>
    <sheetView showGridLines="0" topLeftCell="A144" zoomScaleNormal="100" workbookViewId="0">
      <selection activeCell="O183" sqref="O183"/>
    </sheetView>
  </sheetViews>
  <sheetFormatPr baseColWidth="10" defaultRowHeight="11.25"/>
  <cols>
    <col min="1" max="2" width="11.42578125" style="44"/>
    <col min="3" max="3" width="8.85546875" style="44" customWidth="1"/>
    <col min="4" max="4" width="13.42578125" style="44" customWidth="1"/>
    <col min="5" max="5" width="10.28515625" style="44" customWidth="1"/>
    <col min="6" max="6" width="25.7109375" style="44" bestFit="1" customWidth="1"/>
    <col min="7" max="7" width="25.85546875" style="44" bestFit="1" customWidth="1"/>
    <col min="8" max="8" width="14" style="57" bestFit="1" customWidth="1"/>
    <col min="9" max="9" width="11.7109375" style="57" bestFit="1" customWidth="1"/>
    <col min="10" max="10" width="12.28515625" style="57" bestFit="1" customWidth="1"/>
    <col min="11" max="16384" width="11.42578125" style="44"/>
  </cols>
  <sheetData>
    <row r="1" spans="1:23">
      <c r="A1" s="35"/>
      <c r="B1" s="35"/>
      <c r="C1" s="35"/>
      <c r="D1" s="35"/>
      <c r="E1" s="35"/>
      <c r="F1" s="35"/>
      <c r="G1" s="35"/>
      <c r="H1" s="59"/>
      <c r="I1" s="59"/>
      <c r="J1" s="59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>
      <c r="A4" s="35"/>
      <c r="B4" s="335" t="s">
        <v>87</v>
      </c>
      <c r="C4" s="336"/>
      <c r="D4" s="336"/>
      <c r="E4" s="336"/>
      <c r="F4" s="336"/>
      <c r="G4" s="336"/>
      <c r="H4" s="336"/>
      <c r="I4" s="336"/>
      <c r="J4" s="337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5"/>
      <c r="B5" s="335" t="s">
        <v>88</v>
      </c>
      <c r="C5" s="336"/>
      <c r="D5" s="336"/>
      <c r="E5" s="336"/>
      <c r="F5" s="336"/>
      <c r="G5" s="336"/>
      <c r="H5" s="336"/>
      <c r="I5" s="336"/>
      <c r="J5" s="337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>
      <c r="A6" s="35"/>
      <c r="B6" s="335" t="s">
        <v>74</v>
      </c>
      <c r="C6" s="336"/>
      <c r="D6" s="336"/>
      <c r="E6" s="336"/>
      <c r="F6" s="336"/>
      <c r="G6" s="336"/>
      <c r="H6" s="336"/>
      <c r="I6" s="336"/>
      <c r="J6" s="33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>
      <c r="A7" s="35"/>
      <c r="B7" s="335" t="s">
        <v>89</v>
      </c>
      <c r="C7" s="336"/>
      <c r="D7" s="336"/>
      <c r="E7" s="336"/>
      <c r="F7" s="336"/>
      <c r="G7" s="336"/>
      <c r="H7" s="336"/>
      <c r="I7" s="336"/>
      <c r="J7" s="337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60" t="s">
        <v>5</v>
      </c>
      <c r="I8" s="60" t="s">
        <v>6</v>
      </c>
      <c r="J8" s="60" t="s">
        <v>7</v>
      </c>
      <c r="K8" s="35"/>
      <c r="L8" s="35"/>
      <c r="M8" s="35"/>
      <c r="N8" s="35"/>
      <c r="O8" s="35"/>
      <c r="P8" s="35"/>
      <c r="Q8" s="35"/>
      <c r="R8" s="35"/>
      <c r="S8" s="184"/>
      <c r="T8" s="35"/>
      <c r="U8" s="35"/>
      <c r="V8" s="35"/>
      <c r="W8" s="35"/>
    </row>
    <row r="9" spans="1:23">
      <c r="A9" s="35"/>
      <c r="B9" s="41"/>
      <c r="C9" s="42"/>
      <c r="D9" s="42"/>
      <c r="E9" s="42"/>
      <c r="F9" s="42"/>
      <c r="G9" s="45" t="s">
        <v>237</v>
      </c>
      <c r="H9" s="61">
        <v>30224473</v>
      </c>
      <c r="I9" s="61"/>
      <c r="J9" s="61">
        <f>+H9-I9</f>
        <v>30224473</v>
      </c>
      <c r="K9" s="35"/>
      <c r="L9" s="35"/>
      <c r="P9" s="35"/>
      <c r="Q9" s="35"/>
      <c r="R9" s="35"/>
      <c r="S9" s="35"/>
      <c r="T9" s="35"/>
      <c r="U9" s="35"/>
      <c r="V9" s="35"/>
      <c r="W9" s="35"/>
    </row>
    <row r="10" spans="1:23" s="49" customFormat="1" ht="15" customHeigh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48"/>
      <c r="L10" s="48"/>
      <c r="P10" s="48"/>
      <c r="Q10" s="48"/>
      <c r="R10" s="48"/>
      <c r="S10" s="185"/>
      <c r="T10" s="48"/>
      <c r="U10" s="48"/>
      <c r="V10" s="48"/>
      <c r="W10" s="48"/>
    </row>
    <row r="11" spans="1:23">
      <c r="A11" s="35"/>
      <c r="B11" s="41"/>
      <c r="C11" s="42"/>
      <c r="D11" s="42"/>
      <c r="E11" s="40"/>
      <c r="F11" s="42" t="s">
        <v>171</v>
      </c>
      <c r="G11" s="42" t="s">
        <v>171</v>
      </c>
      <c r="H11" s="61">
        <f>SUBVENCION!C5+SUBVENCION!D5</f>
        <v>24238665</v>
      </c>
      <c r="I11" s="61"/>
      <c r="J11" s="61">
        <f>+J9+H11-I11</f>
        <v>54463138</v>
      </c>
      <c r="K11" s="35"/>
      <c r="L11" s="35" t="s">
        <v>66</v>
      </c>
      <c r="M11" s="97" t="s">
        <v>5</v>
      </c>
      <c r="N11" s="97" t="s">
        <v>214</v>
      </c>
      <c r="O11" s="97" t="s">
        <v>212</v>
      </c>
      <c r="P11" s="97" t="s">
        <v>213</v>
      </c>
      <c r="Q11" s="97" t="s">
        <v>7</v>
      </c>
      <c r="R11" s="35"/>
      <c r="S11" s="35"/>
      <c r="T11" s="35"/>
      <c r="U11" s="35"/>
      <c r="V11" s="35"/>
      <c r="W11" s="35"/>
    </row>
    <row r="12" spans="1:23">
      <c r="A12" s="35"/>
      <c r="B12" s="42"/>
      <c r="C12" s="42"/>
      <c r="D12" s="42"/>
      <c r="E12" s="40"/>
      <c r="F12" s="42" t="s">
        <v>199</v>
      </c>
      <c r="G12" s="42" t="s">
        <v>199</v>
      </c>
      <c r="H12" s="61"/>
      <c r="I12" s="61">
        <v>15695889</v>
      </c>
      <c r="J12" s="61">
        <f>+J11+H12-I12</f>
        <v>38767249</v>
      </c>
      <c r="K12" s="35"/>
      <c r="L12" s="35"/>
      <c r="M12" s="37">
        <f>+H11</f>
        <v>24238665</v>
      </c>
      <c r="N12" s="51">
        <f>+M12*10%</f>
        <v>2423866.5</v>
      </c>
      <c r="O12" s="51">
        <f>+I12</f>
        <v>15695889</v>
      </c>
      <c r="P12" s="51">
        <f>I13+I14+I15+I16+I17+I18+I19</f>
        <v>15104547</v>
      </c>
      <c r="Q12" s="303">
        <f>+M12-N12-O12-P12</f>
        <v>-8985637.5</v>
      </c>
      <c r="R12" s="35"/>
      <c r="S12" s="35"/>
      <c r="T12" s="35"/>
      <c r="U12" s="35"/>
      <c r="V12" s="35"/>
      <c r="W12" s="35"/>
    </row>
    <row r="13" spans="1:23">
      <c r="A13" s="35"/>
      <c r="B13" s="86">
        <v>45966</v>
      </c>
      <c r="C13" s="42">
        <v>431</v>
      </c>
      <c r="D13" s="42" t="s">
        <v>241</v>
      </c>
      <c r="E13" s="40">
        <v>15</v>
      </c>
      <c r="F13" s="42" t="s">
        <v>242</v>
      </c>
      <c r="G13" s="42" t="s">
        <v>242</v>
      </c>
      <c r="H13" s="61"/>
      <c r="I13" s="61">
        <v>789565</v>
      </c>
      <c r="J13" s="61">
        <f t="shared" ref="J13:J16" si="0">+J12+H13-I13</f>
        <v>37977684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>
      <c r="A14" s="35"/>
      <c r="B14" s="86">
        <v>45973</v>
      </c>
      <c r="C14" s="42">
        <v>434</v>
      </c>
      <c r="D14" s="42" t="s">
        <v>243</v>
      </c>
      <c r="E14" s="40">
        <v>16</v>
      </c>
      <c r="F14" s="42" t="s">
        <v>244</v>
      </c>
      <c r="G14" s="42" t="s">
        <v>245</v>
      </c>
      <c r="H14" s="61"/>
      <c r="I14" s="61">
        <v>319800</v>
      </c>
      <c r="J14" s="61">
        <f t="shared" si="0"/>
        <v>37657884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>
      <c r="A15" s="35"/>
      <c r="B15" s="41">
        <v>45989</v>
      </c>
      <c r="C15" s="262">
        <v>455</v>
      </c>
      <c r="D15" s="42" t="s">
        <v>249</v>
      </c>
      <c r="E15" s="224">
        <v>167</v>
      </c>
      <c r="F15" s="42" t="s">
        <v>250</v>
      </c>
      <c r="G15" s="127" t="s">
        <v>251</v>
      </c>
      <c r="H15" s="127"/>
      <c r="I15" s="193">
        <v>2578106</v>
      </c>
      <c r="J15" s="61">
        <f t="shared" si="0"/>
        <v>35079778</v>
      </c>
      <c r="K15" s="184">
        <f>I13+I14+I15+I16+I17+I18</f>
        <v>14610038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3">
      <c r="A16" s="35"/>
      <c r="B16" s="170">
        <v>45989</v>
      </c>
      <c r="C16" s="183">
        <v>459</v>
      </c>
      <c r="D16" s="42" t="s">
        <v>252</v>
      </c>
      <c r="E16" s="289">
        <v>164</v>
      </c>
      <c r="F16" s="42" t="s">
        <v>253</v>
      </c>
      <c r="G16" s="42" t="s">
        <v>253</v>
      </c>
      <c r="H16" s="46"/>
      <c r="I16" s="204">
        <v>521238</v>
      </c>
      <c r="J16" s="61">
        <f t="shared" si="0"/>
        <v>34558540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1:23">
      <c r="A17" s="35"/>
      <c r="B17" s="41">
        <v>45989</v>
      </c>
      <c r="C17" s="262">
        <v>458</v>
      </c>
      <c r="D17" s="42" t="s">
        <v>255</v>
      </c>
      <c r="E17" s="224">
        <v>166</v>
      </c>
      <c r="F17" s="42" t="s">
        <v>254</v>
      </c>
      <c r="G17" s="42" t="s">
        <v>254</v>
      </c>
      <c r="H17" s="127"/>
      <c r="I17" s="193">
        <v>6490001</v>
      </c>
      <c r="J17" s="61">
        <f>+J16+H17-I17</f>
        <v>28068539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1:23">
      <c r="A18" s="35"/>
      <c r="B18" s="41">
        <v>45981</v>
      </c>
      <c r="C18" s="262">
        <v>445</v>
      </c>
      <c r="D18" s="42" t="s">
        <v>256</v>
      </c>
      <c r="E18" s="224">
        <v>393</v>
      </c>
      <c r="F18" s="42" t="s">
        <v>250</v>
      </c>
      <c r="G18" s="42" t="s">
        <v>240</v>
      </c>
      <c r="H18" s="127"/>
      <c r="I18" s="193">
        <v>3911328</v>
      </c>
      <c r="J18" s="61">
        <f t="shared" ref="J18:J20" si="1">+J17+H18-I18</f>
        <v>24157211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>
      <c r="A19" s="35"/>
      <c r="B19" s="41"/>
      <c r="C19" s="262"/>
      <c r="D19" s="42"/>
      <c r="E19" s="260">
        <v>55</v>
      </c>
      <c r="F19" s="55" t="s">
        <v>327</v>
      </c>
      <c r="G19" s="55" t="s">
        <v>327</v>
      </c>
      <c r="H19" s="261"/>
      <c r="I19" s="310">
        <v>494509</v>
      </c>
      <c r="J19" s="61">
        <f t="shared" si="1"/>
        <v>23662702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3">
      <c r="A20" s="35"/>
      <c r="B20" s="41"/>
      <c r="C20" s="262"/>
      <c r="D20" s="42"/>
      <c r="E20" s="224"/>
      <c r="F20" s="42"/>
      <c r="G20" s="42"/>
      <c r="H20" s="127"/>
      <c r="I20" s="193"/>
      <c r="J20" s="61">
        <f t="shared" si="1"/>
        <v>23662702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</row>
    <row r="21" spans="1:23" s="49" customFormat="1">
      <c r="A21" s="48"/>
      <c r="B21" s="330" t="s">
        <v>67</v>
      </c>
      <c r="C21" s="331"/>
      <c r="D21" s="331"/>
      <c r="E21" s="331"/>
      <c r="F21" s="331"/>
      <c r="G21" s="331"/>
      <c r="H21" s="331"/>
      <c r="I21" s="331"/>
      <c r="J21" s="332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spans="1:23">
      <c r="A22" s="35"/>
      <c r="B22" s="41"/>
      <c r="C22" s="42"/>
      <c r="D22" s="42"/>
      <c r="E22" s="42"/>
      <c r="F22" s="42" t="s">
        <v>171</v>
      </c>
      <c r="G22" s="42" t="s">
        <v>171</v>
      </c>
      <c r="H22" s="61">
        <f>SUBVENCION!E5+SUBVENCION!F5</f>
        <v>25683022</v>
      </c>
      <c r="I22" s="61"/>
      <c r="J22" s="61">
        <f>+J20+H22-I22</f>
        <v>49345724</v>
      </c>
      <c r="K22" s="35"/>
      <c r="L22" s="35" t="s">
        <v>67</v>
      </c>
      <c r="M22" s="97" t="s">
        <v>5</v>
      </c>
      <c r="N22" s="97" t="s">
        <v>214</v>
      </c>
      <c r="O22" s="97" t="s">
        <v>212</v>
      </c>
      <c r="P22" s="97" t="s">
        <v>213</v>
      </c>
      <c r="Q22" s="97" t="s">
        <v>7</v>
      </c>
      <c r="R22" s="35"/>
      <c r="S22" s="35"/>
      <c r="T22" s="35"/>
      <c r="U22" s="35"/>
      <c r="V22" s="35"/>
      <c r="W22" s="35"/>
    </row>
    <row r="23" spans="1:23">
      <c r="A23" s="35"/>
      <c r="B23" s="41"/>
      <c r="C23" s="42"/>
      <c r="D23" s="42"/>
      <c r="E23" s="42"/>
      <c r="F23" s="42" t="s">
        <v>199</v>
      </c>
      <c r="G23" s="42" t="s">
        <v>199</v>
      </c>
      <c r="H23" s="61"/>
      <c r="I23" s="61">
        <v>17093190</v>
      </c>
      <c r="J23" s="61">
        <f>+J22+H23-I23</f>
        <v>32252534</v>
      </c>
      <c r="K23" s="35"/>
      <c r="L23" s="35"/>
      <c r="M23" s="37">
        <f>+H22</f>
        <v>25683022</v>
      </c>
      <c r="N23" s="51">
        <f>+M23*10%</f>
        <v>2568302.2000000002</v>
      </c>
      <c r="O23" s="51">
        <f>+I23</f>
        <v>17093190</v>
      </c>
      <c r="P23" s="51">
        <f>I24+I25+I26</f>
        <v>494206</v>
      </c>
      <c r="Q23" s="303">
        <f>+M23-N23-O23-P23</f>
        <v>5527323.8000000007</v>
      </c>
      <c r="R23" s="35"/>
      <c r="S23" s="35"/>
      <c r="T23" s="35"/>
      <c r="U23" s="35"/>
      <c r="V23" s="35"/>
      <c r="W23" s="35"/>
    </row>
    <row r="24" spans="1:23">
      <c r="A24" s="35"/>
      <c r="B24" s="41"/>
      <c r="C24" s="42"/>
      <c r="D24" s="42"/>
      <c r="E24" s="42">
        <v>161</v>
      </c>
      <c r="F24" s="55" t="s">
        <v>327</v>
      </c>
      <c r="G24" s="55" t="s">
        <v>327</v>
      </c>
      <c r="H24" s="61"/>
      <c r="I24" s="63">
        <v>494206</v>
      </c>
      <c r="J24" s="61">
        <f t="shared" ref="J24:J27" si="2">+J23+H24-I24</f>
        <v>31758328</v>
      </c>
      <c r="K24" s="35"/>
      <c r="L24" s="35"/>
      <c r="M24" s="155"/>
      <c r="N24" s="156"/>
      <c r="O24" s="156"/>
      <c r="P24" s="156"/>
      <c r="Q24" s="157"/>
      <c r="R24" s="35"/>
      <c r="S24" s="35"/>
      <c r="T24" s="35"/>
      <c r="U24" s="35"/>
      <c r="V24" s="35"/>
      <c r="W24" s="35"/>
    </row>
    <row r="25" spans="1:23">
      <c r="A25" s="35"/>
      <c r="B25" s="41"/>
      <c r="C25" s="42"/>
      <c r="D25" s="42"/>
      <c r="E25" s="42"/>
      <c r="F25" s="42"/>
      <c r="G25" s="42"/>
      <c r="H25" s="61"/>
      <c r="I25" s="61"/>
      <c r="J25" s="61">
        <f t="shared" si="2"/>
        <v>31758328</v>
      </c>
      <c r="K25" s="35"/>
      <c r="L25" s="35"/>
      <c r="M25" s="155"/>
      <c r="N25" s="156"/>
      <c r="O25" s="156"/>
      <c r="P25" s="156"/>
      <c r="Q25" s="157"/>
      <c r="R25" s="35"/>
      <c r="S25" s="35"/>
      <c r="T25" s="35"/>
      <c r="U25" s="35"/>
      <c r="V25" s="35"/>
      <c r="W25" s="35"/>
    </row>
    <row r="26" spans="1:23">
      <c r="A26" s="35"/>
      <c r="B26" s="41"/>
      <c r="C26" s="42"/>
      <c r="D26" s="42"/>
      <c r="E26" s="42"/>
      <c r="F26" s="42"/>
      <c r="G26" s="42"/>
      <c r="H26" s="61"/>
      <c r="I26" s="61"/>
      <c r="J26" s="61">
        <f t="shared" si="2"/>
        <v>31758328</v>
      </c>
      <c r="K26" s="35"/>
      <c r="L26" s="35"/>
      <c r="M26" s="155"/>
      <c r="N26" s="156"/>
      <c r="O26" s="156"/>
      <c r="P26" s="156"/>
      <c r="Q26" s="157"/>
      <c r="R26" s="35"/>
      <c r="S26" s="35"/>
      <c r="T26" s="35"/>
      <c r="U26" s="35"/>
      <c r="V26" s="35"/>
      <c r="W26" s="35"/>
    </row>
    <row r="27" spans="1:23">
      <c r="A27" s="35"/>
      <c r="B27" s="41"/>
      <c r="C27" s="42"/>
      <c r="D27" s="42"/>
      <c r="E27" s="42"/>
      <c r="F27" s="42"/>
      <c r="G27" s="42"/>
      <c r="H27" s="61"/>
      <c r="I27" s="61"/>
      <c r="J27" s="61">
        <f t="shared" si="2"/>
        <v>31758328</v>
      </c>
      <c r="K27" s="35"/>
      <c r="L27" s="35"/>
      <c r="M27" s="155"/>
      <c r="N27" s="156">
        <f>M27*10%</f>
        <v>0</v>
      </c>
      <c r="O27" s="156"/>
      <c r="P27" s="156"/>
      <c r="Q27" s="157"/>
      <c r="R27" s="35"/>
      <c r="S27" s="35"/>
      <c r="T27" s="35"/>
      <c r="U27" s="35"/>
      <c r="V27" s="35"/>
      <c r="W27" s="35"/>
    </row>
    <row r="28" spans="1:23" s="49" customFormat="1">
      <c r="A28" s="48"/>
      <c r="B28" s="330" t="s">
        <v>68</v>
      </c>
      <c r="C28" s="331"/>
      <c r="D28" s="331"/>
      <c r="E28" s="331"/>
      <c r="F28" s="331"/>
      <c r="G28" s="331"/>
      <c r="H28" s="331"/>
      <c r="I28" s="331"/>
      <c r="J28" s="332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</row>
    <row r="29" spans="1:23" s="87" customFormat="1">
      <c r="A29" s="85"/>
      <c r="B29" s="86"/>
      <c r="C29" s="42"/>
      <c r="D29" s="42"/>
      <c r="E29" s="42"/>
      <c r="F29" s="42" t="s">
        <v>171</v>
      </c>
      <c r="G29" s="42" t="s">
        <v>171</v>
      </c>
      <c r="H29" s="102">
        <v>15571734</v>
      </c>
      <c r="I29" s="64"/>
      <c r="J29" s="64">
        <f>+J27+H29-I29</f>
        <v>47330062</v>
      </c>
      <c r="K29" s="85"/>
      <c r="L29" s="85" t="s">
        <v>68</v>
      </c>
      <c r="M29" s="97" t="s">
        <v>5</v>
      </c>
      <c r="N29" s="97" t="s">
        <v>214</v>
      </c>
      <c r="O29" s="97" t="s">
        <v>212</v>
      </c>
      <c r="P29" s="97" t="s">
        <v>213</v>
      </c>
      <c r="Q29" s="97" t="s">
        <v>7</v>
      </c>
      <c r="R29" s="85"/>
      <c r="S29" s="85"/>
      <c r="T29" s="85"/>
      <c r="U29" s="85"/>
      <c r="V29" s="85"/>
      <c r="W29" s="85"/>
    </row>
    <row r="30" spans="1:23" s="87" customFormat="1">
      <c r="A30" s="85"/>
      <c r="B30" s="86"/>
      <c r="C30" s="42"/>
      <c r="D30" s="42"/>
      <c r="E30" s="42"/>
      <c r="F30" s="42" t="s">
        <v>199</v>
      </c>
      <c r="G30" s="42" t="s">
        <v>199</v>
      </c>
      <c r="H30" s="64"/>
      <c r="I30" s="64">
        <v>15571734</v>
      </c>
      <c r="J30" s="64">
        <f>+J29+H30-I30</f>
        <v>31758328</v>
      </c>
      <c r="K30" s="85"/>
      <c r="L30" s="85"/>
      <c r="M30" s="37">
        <f>+H29</f>
        <v>15571734</v>
      </c>
      <c r="N30" s="51">
        <f>+M30*10%</f>
        <v>1557173.4000000001</v>
      </c>
      <c r="O30" s="51">
        <f>+I30</f>
        <v>15571734</v>
      </c>
      <c r="P30" s="51">
        <f>I31+I32+I33+I34+I35+I36+I37+I38+I39+I40+I41+I42</f>
        <v>9375798</v>
      </c>
      <c r="Q30" s="303">
        <f>+M30-N30-O30-P30</f>
        <v>-10932971.4</v>
      </c>
      <c r="R30" s="85"/>
      <c r="S30" s="85"/>
      <c r="T30" s="85"/>
      <c r="U30" s="85"/>
      <c r="V30" s="85"/>
      <c r="W30" s="85"/>
    </row>
    <row r="31" spans="1:23">
      <c r="A31" s="35"/>
      <c r="B31" s="127"/>
      <c r="C31" s="127"/>
      <c r="D31" s="127"/>
      <c r="E31" s="127"/>
      <c r="F31" s="127" t="s">
        <v>318</v>
      </c>
      <c r="G31" s="127" t="s">
        <v>318</v>
      </c>
      <c r="H31" s="225"/>
      <c r="I31" s="225">
        <v>698890</v>
      </c>
      <c r="J31" s="64">
        <f>+J30+H31-I31</f>
        <v>31059438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>
      <c r="A32" s="35"/>
      <c r="B32" s="165">
        <v>46090</v>
      </c>
      <c r="C32" s="42">
        <v>6</v>
      </c>
      <c r="D32" s="42" t="s">
        <v>591</v>
      </c>
      <c r="E32" s="42">
        <v>1205</v>
      </c>
      <c r="F32" s="42" t="s">
        <v>292</v>
      </c>
      <c r="G32" s="42" t="s">
        <v>292</v>
      </c>
      <c r="H32" s="61"/>
      <c r="I32" s="61">
        <v>5236000</v>
      </c>
      <c r="J32" s="64">
        <f t="shared" ref="J32:J47" si="3">+J31+H32-I32</f>
        <v>25823438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>
      <c r="A33" s="35"/>
      <c r="B33" s="165">
        <v>46092</v>
      </c>
      <c r="C33" s="42">
        <v>8</v>
      </c>
      <c r="D33" s="42">
        <v>85</v>
      </c>
      <c r="E33" s="42">
        <v>273</v>
      </c>
      <c r="F33" s="42" t="s">
        <v>293</v>
      </c>
      <c r="G33" s="45" t="s">
        <v>294</v>
      </c>
      <c r="H33" s="61"/>
      <c r="I33" s="61">
        <v>124950</v>
      </c>
      <c r="J33" s="64">
        <f t="shared" si="3"/>
        <v>25698488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>
      <c r="A34" s="35"/>
      <c r="B34" s="165">
        <v>46092</v>
      </c>
      <c r="C34" s="42">
        <v>7</v>
      </c>
      <c r="D34" s="42">
        <v>86</v>
      </c>
      <c r="E34" s="42">
        <v>383</v>
      </c>
      <c r="F34" s="42" t="s">
        <v>267</v>
      </c>
      <c r="G34" s="45" t="s">
        <v>240</v>
      </c>
      <c r="H34" s="61"/>
      <c r="I34" s="61">
        <v>204600</v>
      </c>
      <c r="J34" s="64">
        <f t="shared" si="3"/>
        <v>25493888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>
      <c r="A35" s="35"/>
      <c r="B35" s="165">
        <v>46090</v>
      </c>
      <c r="C35" s="42">
        <v>4</v>
      </c>
      <c r="D35" s="42">
        <v>88</v>
      </c>
      <c r="E35" s="42">
        <v>376</v>
      </c>
      <c r="F35" s="42" t="s">
        <v>279</v>
      </c>
      <c r="G35" s="45" t="s">
        <v>302</v>
      </c>
      <c r="H35" s="61"/>
      <c r="I35" s="61">
        <v>186002</v>
      </c>
      <c r="J35" s="64">
        <f t="shared" si="3"/>
        <v>25307886</v>
      </c>
      <c r="K35" s="35"/>
      <c r="L35" s="35"/>
      <c r="M35" s="35"/>
      <c r="N35" s="35"/>
      <c r="O35" s="35"/>
      <c r="P35" s="194"/>
      <c r="Q35" s="35"/>
      <c r="R35" s="35"/>
      <c r="S35" s="35"/>
      <c r="T35" s="35"/>
      <c r="U35" s="35"/>
      <c r="V35" s="35"/>
      <c r="W35" s="35"/>
    </row>
    <row r="36" spans="1:23">
      <c r="A36" s="35"/>
      <c r="B36" s="165">
        <v>46090</v>
      </c>
      <c r="C36" s="42">
        <v>5</v>
      </c>
      <c r="D36" s="42">
        <v>87</v>
      </c>
      <c r="E36" s="42">
        <v>274</v>
      </c>
      <c r="F36" s="42" t="s">
        <v>309</v>
      </c>
      <c r="G36" s="45" t="s">
        <v>310</v>
      </c>
      <c r="H36" s="61"/>
      <c r="I36" s="61">
        <v>207603</v>
      </c>
      <c r="J36" s="64">
        <f t="shared" si="3"/>
        <v>25100283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>
      <c r="A37" s="35"/>
      <c r="B37" s="165"/>
      <c r="C37" s="42"/>
      <c r="D37" s="42"/>
      <c r="E37" s="42">
        <v>293</v>
      </c>
      <c r="F37" s="55" t="s">
        <v>327</v>
      </c>
      <c r="G37" s="55" t="s">
        <v>327</v>
      </c>
      <c r="H37" s="63"/>
      <c r="I37" s="63">
        <v>495360</v>
      </c>
      <c r="J37" s="64">
        <f t="shared" si="3"/>
        <v>24604923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>
      <c r="A38" s="35"/>
      <c r="B38" s="165"/>
      <c r="C38" s="42"/>
      <c r="D38" s="42"/>
      <c r="E38" s="42">
        <v>292</v>
      </c>
      <c r="F38" s="42" t="s">
        <v>318</v>
      </c>
      <c r="G38" s="42" t="s">
        <v>318</v>
      </c>
      <c r="H38" s="61"/>
      <c r="I38" s="61">
        <v>698890</v>
      </c>
      <c r="J38" s="64">
        <f t="shared" si="3"/>
        <v>23906033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>
      <c r="A39" s="35"/>
      <c r="B39" s="165">
        <v>46106</v>
      </c>
      <c r="C39" s="42">
        <v>12</v>
      </c>
      <c r="D39" s="42">
        <v>172</v>
      </c>
      <c r="E39" s="262">
        <v>600</v>
      </c>
      <c r="F39" s="127" t="s">
        <v>267</v>
      </c>
      <c r="G39" s="127" t="s">
        <v>351</v>
      </c>
      <c r="H39" s="225"/>
      <c r="I39" s="225">
        <v>209492</v>
      </c>
      <c r="J39" s="64">
        <f t="shared" si="3"/>
        <v>23696541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>
      <c r="A40" s="35"/>
      <c r="B40" s="165">
        <v>46106</v>
      </c>
      <c r="C40" s="42">
        <v>13</v>
      </c>
      <c r="D40" s="42" t="s">
        <v>486</v>
      </c>
      <c r="E40" s="42">
        <v>875</v>
      </c>
      <c r="F40" s="42" t="s">
        <v>295</v>
      </c>
      <c r="G40" s="45" t="s">
        <v>350</v>
      </c>
      <c r="H40" s="61"/>
      <c r="I40" s="61">
        <v>899990</v>
      </c>
      <c r="J40" s="64">
        <f t="shared" si="3"/>
        <v>22796551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  <row r="41" spans="1:23">
      <c r="A41" s="35"/>
      <c r="B41" s="165">
        <v>46106</v>
      </c>
      <c r="C41" s="42">
        <v>14</v>
      </c>
      <c r="D41" s="42">
        <v>173</v>
      </c>
      <c r="E41" s="42">
        <v>422</v>
      </c>
      <c r="F41" s="127" t="s">
        <v>267</v>
      </c>
      <c r="G41" s="45" t="s">
        <v>352</v>
      </c>
      <c r="H41" s="61"/>
      <c r="I41" s="61">
        <v>206999</v>
      </c>
      <c r="J41" s="64">
        <f t="shared" si="3"/>
        <v>22589552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</row>
    <row r="42" spans="1:23">
      <c r="A42" s="35"/>
      <c r="B42" s="165">
        <v>46107</v>
      </c>
      <c r="C42" s="42">
        <v>16</v>
      </c>
      <c r="D42" s="42">
        <v>215</v>
      </c>
      <c r="E42" s="42">
        <v>759</v>
      </c>
      <c r="F42" s="42" t="s">
        <v>359</v>
      </c>
      <c r="G42" s="42" t="s">
        <v>359</v>
      </c>
      <c r="H42" s="61"/>
      <c r="I42" s="61">
        <v>207022</v>
      </c>
      <c r="J42" s="64">
        <f t="shared" si="3"/>
        <v>22382530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</row>
    <row r="43" spans="1:23">
      <c r="A43" s="35"/>
      <c r="B43" s="165"/>
      <c r="C43" s="42"/>
      <c r="D43" s="42"/>
      <c r="E43" s="42"/>
      <c r="F43" s="42"/>
      <c r="G43" s="45"/>
      <c r="H43" s="61"/>
      <c r="I43" s="61"/>
      <c r="J43" s="64">
        <f t="shared" si="3"/>
        <v>22382530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</row>
    <row r="44" spans="1:23">
      <c r="A44" s="35"/>
      <c r="B44" s="165"/>
      <c r="C44" s="42"/>
      <c r="D44" s="42"/>
      <c r="E44" s="42"/>
      <c r="F44" s="42"/>
      <c r="G44" s="45"/>
      <c r="H44" s="61"/>
      <c r="I44" s="61"/>
      <c r="J44" s="64">
        <f t="shared" si="3"/>
        <v>22382530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</row>
    <row r="45" spans="1:23">
      <c r="A45" s="35"/>
      <c r="B45" s="165"/>
      <c r="C45" s="42"/>
      <c r="D45" s="42"/>
      <c r="E45" s="42"/>
      <c r="F45" s="42"/>
      <c r="G45" s="45" t="s">
        <v>223</v>
      </c>
      <c r="H45" s="61"/>
      <c r="I45" s="61"/>
      <c r="J45" s="64">
        <f t="shared" si="3"/>
        <v>22382530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</row>
    <row r="46" spans="1:23">
      <c r="A46" s="35"/>
      <c r="B46" s="165"/>
      <c r="C46" s="42"/>
      <c r="D46" s="42"/>
      <c r="E46" s="42"/>
      <c r="F46" s="42"/>
      <c r="G46" s="45"/>
      <c r="H46" s="61"/>
      <c r="I46" s="61"/>
      <c r="J46" s="64">
        <f t="shared" si="3"/>
        <v>22382530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 spans="1:23">
      <c r="A47" s="35"/>
      <c r="B47" s="165"/>
      <c r="C47" s="42"/>
      <c r="D47" s="42"/>
      <c r="E47" s="42"/>
      <c r="F47" s="42"/>
      <c r="G47" s="45"/>
      <c r="H47" s="61"/>
      <c r="I47" s="61"/>
      <c r="J47" s="64">
        <f t="shared" si="3"/>
        <v>22382530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spans="1:23" s="49" customFormat="1">
      <c r="B48" s="330" t="s">
        <v>69</v>
      </c>
      <c r="C48" s="331"/>
      <c r="D48" s="331"/>
      <c r="E48" s="331"/>
      <c r="F48" s="331"/>
      <c r="G48" s="331"/>
      <c r="H48" s="331"/>
      <c r="I48" s="331"/>
      <c r="J48" s="332"/>
    </row>
    <row r="49" spans="2:17">
      <c r="B49" s="41"/>
      <c r="C49" s="42"/>
      <c r="D49" s="42"/>
      <c r="E49" s="42"/>
      <c r="F49" s="42" t="s">
        <v>171</v>
      </c>
      <c r="G49" s="42" t="s">
        <v>171</v>
      </c>
      <c r="H49" s="37">
        <f>SUBVENCION!I5+SUBVENCION!J5</f>
        <v>23258553</v>
      </c>
      <c r="I49" s="61"/>
      <c r="J49" s="61">
        <f>+J47+H49-I49</f>
        <v>45641083</v>
      </c>
      <c r="L49" s="44" t="s">
        <v>69</v>
      </c>
      <c r="M49" s="97" t="s">
        <v>5</v>
      </c>
      <c r="N49" s="97" t="s">
        <v>214</v>
      </c>
      <c r="O49" s="97" t="s">
        <v>212</v>
      </c>
      <c r="P49" s="97" t="s">
        <v>213</v>
      </c>
      <c r="Q49" s="97" t="s">
        <v>7</v>
      </c>
    </row>
    <row r="50" spans="2:17">
      <c r="B50" s="41"/>
      <c r="C50" s="42"/>
      <c r="D50" s="42"/>
      <c r="E50" s="42"/>
      <c r="F50" s="42" t="s">
        <v>199</v>
      </c>
      <c r="G50" s="42" t="s">
        <v>199</v>
      </c>
      <c r="H50" s="61"/>
      <c r="I50" s="61">
        <v>17728688</v>
      </c>
      <c r="J50" s="61">
        <f>+J49+H50-I50</f>
        <v>27912395</v>
      </c>
      <c r="M50" s="37">
        <f>+H49</f>
        <v>23258553</v>
      </c>
      <c r="N50" s="51">
        <f>+M50*10%</f>
        <v>2325855.3000000003</v>
      </c>
      <c r="O50" s="51">
        <f>+I50</f>
        <v>17728688</v>
      </c>
      <c r="P50" s="51">
        <f>SUM(I51:I65)</f>
        <v>5023003</v>
      </c>
      <c r="Q50" s="303">
        <f>+M50-N50-O50-P50</f>
        <v>-1818993.3000000007</v>
      </c>
    </row>
    <row r="51" spans="2:17">
      <c r="B51" s="41"/>
      <c r="C51" s="42"/>
      <c r="D51" s="42"/>
      <c r="E51" s="55">
        <v>455</v>
      </c>
      <c r="F51" s="55" t="s">
        <v>327</v>
      </c>
      <c r="G51" s="55" t="s">
        <v>327</v>
      </c>
      <c r="H51" s="61"/>
      <c r="I51" s="63">
        <v>488340</v>
      </c>
      <c r="J51" s="61">
        <f t="shared" ref="J51:J66" si="4">+J50+H51-I51</f>
        <v>27424055</v>
      </c>
    </row>
    <row r="52" spans="2:17">
      <c r="B52" s="41">
        <v>46114</v>
      </c>
      <c r="C52" s="42">
        <v>18</v>
      </c>
      <c r="D52" s="42">
        <v>216</v>
      </c>
      <c r="E52" s="42">
        <v>417</v>
      </c>
      <c r="F52" s="42" t="s">
        <v>267</v>
      </c>
      <c r="G52" s="42" t="s">
        <v>267</v>
      </c>
      <c r="H52" s="61"/>
      <c r="I52" s="61">
        <v>206540</v>
      </c>
      <c r="J52" s="61">
        <f t="shared" si="4"/>
        <v>27217515</v>
      </c>
    </row>
    <row r="53" spans="2:17">
      <c r="B53" s="41">
        <v>46121</v>
      </c>
      <c r="C53" s="42">
        <v>25</v>
      </c>
      <c r="D53" s="42" t="s">
        <v>599</v>
      </c>
      <c r="E53" s="42">
        <v>1189</v>
      </c>
      <c r="F53" s="42" t="s">
        <v>380</v>
      </c>
      <c r="G53" s="45" t="s">
        <v>381</v>
      </c>
      <c r="H53" s="61"/>
      <c r="I53" s="61">
        <v>1905000</v>
      </c>
      <c r="J53" s="61">
        <f t="shared" si="4"/>
        <v>25312515</v>
      </c>
    </row>
    <row r="54" spans="2:17">
      <c r="B54" s="41">
        <v>46120</v>
      </c>
      <c r="C54" s="42">
        <v>22</v>
      </c>
      <c r="D54" s="42">
        <v>246</v>
      </c>
      <c r="E54" s="42">
        <v>600</v>
      </c>
      <c r="F54" s="42" t="s">
        <v>267</v>
      </c>
      <c r="G54" s="45" t="s">
        <v>240</v>
      </c>
      <c r="H54" s="61"/>
      <c r="I54" s="61">
        <v>209009</v>
      </c>
      <c r="J54" s="61">
        <f t="shared" si="4"/>
        <v>25103506</v>
      </c>
    </row>
    <row r="55" spans="2:17">
      <c r="B55" s="41">
        <v>46120</v>
      </c>
      <c r="C55" s="42">
        <v>23</v>
      </c>
      <c r="D55" s="42">
        <v>248</v>
      </c>
      <c r="E55" s="42">
        <v>583</v>
      </c>
      <c r="F55" s="42" t="s">
        <v>267</v>
      </c>
      <c r="G55" s="45" t="s">
        <v>360</v>
      </c>
      <c r="H55" s="61"/>
      <c r="I55" s="61">
        <v>209620</v>
      </c>
      <c r="J55" s="61">
        <f t="shared" si="4"/>
        <v>24893886</v>
      </c>
    </row>
    <row r="56" spans="2:17">
      <c r="B56" s="41">
        <v>46120</v>
      </c>
      <c r="C56" s="42">
        <v>24</v>
      </c>
      <c r="D56" s="42">
        <v>249</v>
      </c>
      <c r="E56" s="42">
        <v>883</v>
      </c>
      <c r="F56" s="42" t="s">
        <v>242</v>
      </c>
      <c r="G56" s="42" t="s">
        <v>242</v>
      </c>
      <c r="H56" s="61"/>
      <c r="I56" s="61">
        <v>208500</v>
      </c>
      <c r="J56" s="61">
        <f t="shared" si="4"/>
        <v>24685386</v>
      </c>
    </row>
    <row r="57" spans="2:17">
      <c r="B57" s="41">
        <v>46121</v>
      </c>
      <c r="C57" s="42">
        <v>27</v>
      </c>
      <c r="D57" s="42">
        <v>260</v>
      </c>
      <c r="E57" s="42">
        <v>572</v>
      </c>
      <c r="F57" s="42" t="s">
        <v>353</v>
      </c>
      <c r="G57" s="42" t="s">
        <v>353</v>
      </c>
      <c r="H57" s="61"/>
      <c r="I57" s="61">
        <v>206774</v>
      </c>
      <c r="J57" s="61">
        <f t="shared" si="4"/>
        <v>24478612</v>
      </c>
    </row>
    <row r="58" spans="2:17">
      <c r="B58" s="41">
        <v>46129</v>
      </c>
      <c r="C58" s="42">
        <v>31</v>
      </c>
      <c r="D58" s="42">
        <v>322</v>
      </c>
      <c r="E58" s="42">
        <v>655</v>
      </c>
      <c r="F58" s="42" t="s">
        <v>242</v>
      </c>
      <c r="G58" s="42" t="s">
        <v>242</v>
      </c>
      <c r="H58" s="61"/>
      <c r="I58" s="61">
        <v>192780</v>
      </c>
      <c r="J58" s="61">
        <f t="shared" si="4"/>
        <v>24285832</v>
      </c>
    </row>
    <row r="59" spans="2:17">
      <c r="B59" s="41">
        <v>46129</v>
      </c>
      <c r="C59" s="42">
        <v>32</v>
      </c>
      <c r="D59" s="42">
        <v>323</v>
      </c>
      <c r="E59" s="42">
        <v>574</v>
      </c>
      <c r="F59" s="42" t="s">
        <v>279</v>
      </c>
      <c r="G59" s="45" t="s">
        <v>281</v>
      </c>
      <c r="H59" s="61"/>
      <c r="I59" s="61">
        <v>173959</v>
      </c>
      <c r="J59" s="61">
        <f t="shared" si="4"/>
        <v>24111873</v>
      </c>
    </row>
    <row r="60" spans="2:17">
      <c r="B60" s="41">
        <v>46132</v>
      </c>
      <c r="C60" s="42">
        <v>33</v>
      </c>
      <c r="D60" s="42">
        <v>324</v>
      </c>
      <c r="E60" s="42">
        <v>638</v>
      </c>
      <c r="F60" s="42" t="s">
        <v>267</v>
      </c>
      <c r="G60" s="42" t="s">
        <v>267</v>
      </c>
      <c r="H60" s="61"/>
      <c r="I60" s="61">
        <v>209607</v>
      </c>
      <c r="J60" s="61">
        <f t="shared" si="4"/>
        <v>23902266</v>
      </c>
    </row>
    <row r="61" spans="2:17">
      <c r="B61" s="41">
        <v>46132</v>
      </c>
      <c r="C61" s="42">
        <v>35</v>
      </c>
      <c r="D61" s="42">
        <v>344</v>
      </c>
      <c r="E61" s="42">
        <v>583</v>
      </c>
      <c r="F61" s="42" t="s">
        <v>267</v>
      </c>
      <c r="G61" s="42" t="s">
        <v>267</v>
      </c>
      <c r="H61" s="61"/>
      <c r="I61" s="61">
        <v>209500</v>
      </c>
      <c r="J61" s="61">
        <f t="shared" si="4"/>
        <v>23692766</v>
      </c>
    </row>
    <row r="62" spans="2:17">
      <c r="B62" s="41">
        <v>46135</v>
      </c>
      <c r="C62" s="42">
        <v>37</v>
      </c>
      <c r="D62" s="42">
        <v>345</v>
      </c>
      <c r="E62" s="42">
        <v>576</v>
      </c>
      <c r="F62" s="42" t="s">
        <v>279</v>
      </c>
      <c r="G62" s="42" t="s">
        <v>271</v>
      </c>
      <c r="H62" s="61"/>
      <c r="I62" s="61">
        <v>202500</v>
      </c>
      <c r="J62" s="61">
        <f t="shared" si="4"/>
        <v>23490266</v>
      </c>
    </row>
    <row r="63" spans="2:17">
      <c r="B63" s="41">
        <v>46135</v>
      </c>
      <c r="C63" s="42">
        <v>38</v>
      </c>
      <c r="D63" s="42">
        <v>346</v>
      </c>
      <c r="E63" s="42">
        <v>600</v>
      </c>
      <c r="F63" s="42" t="s">
        <v>267</v>
      </c>
      <c r="G63" s="42" t="s">
        <v>267</v>
      </c>
      <c r="H63" s="61"/>
      <c r="I63" s="61">
        <v>206741</v>
      </c>
      <c r="J63" s="61">
        <f t="shared" si="4"/>
        <v>23283525</v>
      </c>
    </row>
    <row r="64" spans="2:17">
      <c r="B64" s="41">
        <v>46135</v>
      </c>
      <c r="C64" s="42">
        <v>39</v>
      </c>
      <c r="D64" s="42">
        <v>347</v>
      </c>
      <c r="E64" s="42">
        <v>574</v>
      </c>
      <c r="F64" s="42" t="s">
        <v>279</v>
      </c>
      <c r="G64" s="42" t="s">
        <v>302</v>
      </c>
      <c r="H64" s="61"/>
      <c r="I64" s="61">
        <v>186002</v>
      </c>
      <c r="J64" s="61">
        <f t="shared" si="4"/>
        <v>23097523</v>
      </c>
    </row>
    <row r="65" spans="2:17">
      <c r="B65" s="41">
        <v>46136</v>
      </c>
      <c r="C65" s="42">
        <v>41</v>
      </c>
      <c r="D65" s="42">
        <v>357</v>
      </c>
      <c r="E65" s="42">
        <v>700</v>
      </c>
      <c r="F65" s="42" t="s">
        <v>267</v>
      </c>
      <c r="G65" s="42" t="s">
        <v>267</v>
      </c>
      <c r="H65" s="61"/>
      <c r="I65" s="61">
        <v>208131</v>
      </c>
      <c r="J65" s="61">
        <f>+J64+H65-I65</f>
        <v>22889392</v>
      </c>
    </row>
    <row r="66" spans="2:17">
      <c r="B66" s="41"/>
      <c r="C66" s="42"/>
      <c r="D66" s="42"/>
      <c r="E66" s="42"/>
      <c r="F66" s="42"/>
      <c r="G66" s="45"/>
      <c r="H66" s="61"/>
      <c r="I66" s="61"/>
      <c r="J66" s="61">
        <f t="shared" si="4"/>
        <v>22889392</v>
      </c>
    </row>
    <row r="67" spans="2:17">
      <c r="B67" s="341" t="s">
        <v>120</v>
      </c>
      <c r="C67" s="342"/>
      <c r="D67" s="342"/>
      <c r="E67" s="342"/>
      <c r="F67" s="342"/>
      <c r="G67" s="342"/>
      <c r="H67" s="342"/>
      <c r="I67" s="342"/>
      <c r="J67" s="343"/>
    </row>
    <row r="68" spans="2:17">
      <c r="B68" s="41"/>
      <c r="C68" s="42"/>
      <c r="D68" s="42"/>
      <c r="E68" s="42"/>
      <c r="F68" s="42" t="s">
        <v>171</v>
      </c>
      <c r="G68" s="42" t="s">
        <v>223</v>
      </c>
      <c r="H68" s="61">
        <f>SUBVENCION!K5+SUBVENCION!L5</f>
        <v>25259627</v>
      </c>
      <c r="I68" s="61"/>
      <c r="J68" s="61">
        <f>+J66+H68-I68</f>
        <v>48149019</v>
      </c>
      <c r="L68" s="44" t="s">
        <v>120</v>
      </c>
      <c r="M68" s="97" t="s">
        <v>5</v>
      </c>
      <c r="N68" s="97" t="s">
        <v>214</v>
      </c>
      <c r="O68" s="97" t="s">
        <v>212</v>
      </c>
      <c r="P68" s="97" t="s">
        <v>213</v>
      </c>
      <c r="Q68" s="97" t="s">
        <v>7</v>
      </c>
    </row>
    <row r="69" spans="2:17">
      <c r="B69" s="41"/>
      <c r="C69" s="42"/>
      <c r="D69" s="42"/>
      <c r="E69" s="42"/>
      <c r="F69" s="42" t="s">
        <v>199</v>
      </c>
      <c r="G69" s="42" t="s">
        <v>199</v>
      </c>
      <c r="H69" s="64"/>
      <c r="I69" s="51">
        <v>17776958</v>
      </c>
      <c r="J69" s="61">
        <f>+J68+H69-I69</f>
        <v>30372061</v>
      </c>
      <c r="M69" s="37">
        <f>+H68</f>
        <v>25259627</v>
      </c>
      <c r="N69" s="51">
        <f>+M69*10%</f>
        <v>2525962.7000000002</v>
      </c>
      <c r="O69" s="51">
        <f>+I69</f>
        <v>17776958</v>
      </c>
      <c r="P69" s="51">
        <f>I70+I71+I72+I73+I74+I75+I76+I77+I78+I79+I80+I81</f>
        <v>13806835</v>
      </c>
      <c r="Q69" s="303">
        <f>+M69-N69-O69-P69</f>
        <v>-8850128.6999999993</v>
      </c>
    </row>
    <row r="70" spans="2:17">
      <c r="B70" s="41">
        <v>46155</v>
      </c>
      <c r="C70" s="42">
        <v>43</v>
      </c>
      <c r="D70" s="42">
        <v>453</v>
      </c>
      <c r="E70" s="42">
        <v>745</v>
      </c>
      <c r="F70" s="42" t="s">
        <v>267</v>
      </c>
      <c r="G70" s="42" t="s">
        <v>240</v>
      </c>
      <c r="H70" s="64"/>
      <c r="I70" s="64">
        <v>208900</v>
      </c>
      <c r="J70" s="61">
        <f t="shared" ref="J70:J81" si="5">+J69+H70-I70</f>
        <v>30163161</v>
      </c>
      <c r="M70" s="155"/>
      <c r="N70" s="156"/>
      <c r="O70" s="156"/>
      <c r="P70" s="156"/>
      <c r="Q70" s="157"/>
    </row>
    <row r="71" spans="2:17">
      <c r="B71" s="41"/>
      <c r="C71" s="42"/>
      <c r="D71" s="42"/>
      <c r="E71" s="42">
        <v>564</v>
      </c>
      <c r="I71" s="63">
        <v>499557</v>
      </c>
      <c r="J71" s="61">
        <f>+J70+H89-I71</f>
        <v>29663604</v>
      </c>
    </row>
    <row r="72" spans="2:17">
      <c r="B72" s="41">
        <v>45932</v>
      </c>
      <c r="C72" s="42">
        <v>141</v>
      </c>
      <c r="D72" s="42" t="s">
        <v>457</v>
      </c>
      <c r="E72" s="42">
        <v>776</v>
      </c>
      <c r="F72" s="42" t="s">
        <v>250</v>
      </c>
      <c r="G72" s="45" t="s">
        <v>456</v>
      </c>
      <c r="H72" s="61"/>
      <c r="I72" s="61">
        <v>11839405</v>
      </c>
      <c r="J72" s="61">
        <f t="shared" si="5"/>
        <v>17824199</v>
      </c>
    </row>
    <row r="73" spans="2:17">
      <c r="B73" s="41">
        <v>46167</v>
      </c>
      <c r="C73" s="42">
        <v>47</v>
      </c>
      <c r="D73" s="42">
        <v>472</v>
      </c>
      <c r="E73" s="42">
        <v>746</v>
      </c>
      <c r="F73" s="42" t="s">
        <v>267</v>
      </c>
      <c r="G73" s="42" t="s">
        <v>267</v>
      </c>
      <c r="H73" s="61"/>
      <c r="I73" s="61">
        <v>211359</v>
      </c>
      <c r="J73" s="61">
        <f t="shared" si="5"/>
        <v>17612840</v>
      </c>
    </row>
    <row r="74" spans="2:17">
      <c r="B74" s="41">
        <v>46168</v>
      </c>
      <c r="C74" s="42">
        <v>48</v>
      </c>
      <c r="D74" s="42">
        <v>480</v>
      </c>
      <c r="E74" s="42">
        <v>744</v>
      </c>
      <c r="F74" s="42" t="s">
        <v>279</v>
      </c>
      <c r="G74" s="42" t="s">
        <v>279</v>
      </c>
      <c r="H74" s="61"/>
      <c r="I74" s="61">
        <v>210873</v>
      </c>
      <c r="J74" s="61">
        <f t="shared" si="5"/>
        <v>17401967</v>
      </c>
    </row>
    <row r="75" spans="2:17">
      <c r="B75" s="41">
        <v>46168</v>
      </c>
      <c r="C75" s="42">
        <v>50</v>
      </c>
      <c r="D75" s="42">
        <v>487</v>
      </c>
      <c r="E75" s="42">
        <v>841</v>
      </c>
      <c r="F75" s="42" t="s">
        <v>242</v>
      </c>
      <c r="G75" s="42" t="s">
        <v>242</v>
      </c>
      <c r="H75" s="61"/>
      <c r="I75" s="61">
        <v>208500</v>
      </c>
      <c r="J75" s="61">
        <f t="shared" si="5"/>
        <v>17193467</v>
      </c>
    </row>
    <row r="76" spans="2:17">
      <c r="B76" s="41">
        <v>46168</v>
      </c>
      <c r="C76" s="42">
        <v>49</v>
      </c>
      <c r="D76" s="42">
        <v>486</v>
      </c>
      <c r="E76" s="42">
        <v>876</v>
      </c>
      <c r="F76" s="42" t="s">
        <v>242</v>
      </c>
      <c r="G76" s="42" t="s">
        <v>242</v>
      </c>
      <c r="H76" s="61"/>
      <c r="I76" s="61">
        <v>209440</v>
      </c>
      <c r="J76" s="61">
        <f t="shared" si="5"/>
        <v>16984027</v>
      </c>
    </row>
    <row r="77" spans="2:17">
      <c r="B77" s="41">
        <v>46171</v>
      </c>
      <c r="C77" s="42">
        <v>51</v>
      </c>
      <c r="D77" s="42">
        <v>510</v>
      </c>
      <c r="E77" s="42" t="s">
        <v>701</v>
      </c>
      <c r="F77" s="42" t="s">
        <v>267</v>
      </c>
      <c r="G77" s="42" t="s">
        <v>267</v>
      </c>
      <c r="H77" s="61"/>
      <c r="I77" s="61">
        <v>209000</v>
      </c>
      <c r="J77" s="61">
        <f t="shared" si="5"/>
        <v>16775027</v>
      </c>
    </row>
    <row r="78" spans="2:17">
      <c r="B78" s="41">
        <v>46171</v>
      </c>
      <c r="C78" s="42">
        <v>52</v>
      </c>
      <c r="D78" s="42">
        <v>511</v>
      </c>
      <c r="E78" s="42">
        <v>832</v>
      </c>
      <c r="F78" s="42" t="s">
        <v>267</v>
      </c>
      <c r="G78" s="42" t="s">
        <v>349</v>
      </c>
      <c r="H78" s="61"/>
      <c r="I78" s="61">
        <v>209801</v>
      </c>
      <c r="J78" s="61">
        <f t="shared" si="5"/>
        <v>16565226</v>
      </c>
    </row>
    <row r="79" spans="2:17">
      <c r="B79" s="41"/>
      <c r="C79" s="42"/>
      <c r="D79" s="42"/>
      <c r="E79" s="42"/>
      <c r="F79" s="42"/>
      <c r="G79" s="42"/>
      <c r="H79" s="61"/>
      <c r="I79" s="61"/>
      <c r="J79" s="61">
        <f t="shared" si="5"/>
        <v>16565226</v>
      </c>
    </row>
    <row r="80" spans="2:17">
      <c r="B80" s="41"/>
      <c r="C80" s="42"/>
      <c r="D80" s="42"/>
      <c r="E80" s="42"/>
      <c r="F80" s="42"/>
      <c r="G80" s="42"/>
      <c r="H80" s="61"/>
      <c r="I80" s="61"/>
      <c r="J80" s="61">
        <f t="shared" si="5"/>
        <v>16565226</v>
      </c>
    </row>
    <row r="81" spans="2:17">
      <c r="B81" s="41"/>
      <c r="C81" s="42"/>
      <c r="D81" s="42"/>
      <c r="E81" s="42"/>
      <c r="F81" s="42"/>
      <c r="G81" s="42"/>
      <c r="H81" s="61"/>
      <c r="I81" s="61"/>
      <c r="J81" s="61">
        <f t="shared" si="5"/>
        <v>16565226</v>
      </c>
    </row>
    <row r="82" spans="2:17">
      <c r="B82" s="341" t="s">
        <v>129</v>
      </c>
      <c r="C82" s="342"/>
      <c r="D82" s="342"/>
      <c r="E82" s="342"/>
      <c r="F82" s="342"/>
      <c r="G82" s="342"/>
      <c r="H82" s="342"/>
      <c r="I82" s="342"/>
      <c r="J82" s="343"/>
    </row>
    <row r="83" spans="2:17">
      <c r="B83" s="41"/>
      <c r="C83" s="42"/>
      <c r="D83" s="42"/>
      <c r="E83" s="42"/>
      <c r="F83" s="42" t="s">
        <v>171</v>
      </c>
      <c r="G83" s="42" t="s">
        <v>171</v>
      </c>
      <c r="H83" s="61">
        <f>SUBVENCION!M5+SUBVENCION!N5</f>
        <v>27611342</v>
      </c>
      <c r="I83" s="61"/>
      <c r="J83" s="61">
        <f>+J81+H83-I83</f>
        <v>44176568</v>
      </c>
      <c r="L83" s="44" t="s">
        <v>129</v>
      </c>
      <c r="M83" s="97" t="s">
        <v>5</v>
      </c>
      <c r="N83" s="97" t="s">
        <v>214</v>
      </c>
      <c r="O83" s="97" t="s">
        <v>212</v>
      </c>
      <c r="P83" s="97" t="s">
        <v>213</v>
      </c>
      <c r="Q83" s="97" t="s">
        <v>7</v>
      </c>
    </row>
    <row r="84" spans="2:17">
      <c r="B84" s="41"/>
      <c r="C84" s="42"/>
      <c r="D84" s="42"/>
      <c r="E84" s="42"/>
      <c r="F84" s="42" t="s">
        <v>199</v>
      </c>
      <c r="G84" s="42" t="s">
        <v>199</v>
      </c>
      <c r="H84" s="64"/>
      <c r="I84" s="64">
        <v>18065302</v>
      </c>
      <c r="J84" s="61">
        <f>+J83+H84-I84</f>
        <v>26111266</v>
      </c>
      <c r="M84" s="37">
        <f>+H83</f>
        <v>27611342</v>
      </c>
      <c r="N84" s="51">
        <f>+M84*10%</f>
        <v>2761134.2</v>
      </c>
      <c r="O84" s="51">
        <f>+I84</f>
        <v>18065302</v>
      </c>
      <c r="P84" s="51">
        <f>SUM(I85:I93)</f>
        <v>4041630</v>
      </c>
      <c r="Q84" s="303">
        <f>+M84-N84-O84-P84</f>
        <v>2743275.8000000007</v>
      </c>
    </row>
    <row r="85" spans="2:17">
      <c r="B85" s="41">
        <v>46174</v>
      </c>
      <c r="C85" s="42">
        <v>53</v>
      </c>
      <c r="D85" s="42">
        <v>520</v>
      </c>
      <c r="E85" s="42">
        <v>960</v>
      </c>
      <c r="F85" s="42" t="s">
        <v>267</v>
      </c>
      <c r="G85" s="42" t="s">
        <v>240</v>
      </c>
      <c r="H85" s="64"/>
      <c r="I85" s="64">
        <v>214500</v>
      </c>
      <c r="J85" s="61">
        <f t="shared" ref="J85:J94" si="6">+J84+H85-I85</f>
        <v>25896766</v>
      </c>
      <c r="M85" s="155"/>
      <c r="N85" s="156"/>
      <c r="O85" s="156"/>
      <c r="P85" s="156"/>
      <c r="Q85" s="157"/>
    </row>
    <row r="86" spans="2:17">
      <c r="B86" s="41">
        <v>46178</v>
      </c>
      <c r="C86" s="42">
        <v>54</v>
      </c>
      <c r="D86" s="42" t="s">
        <v>498</v>
      </c>
      <c r="E86" s="42">
        <v>962</v>
      </c>
      <c r="F86" s="42" t="s">
        <v>242</v>
      </c>
      <c r="G86" s="42" t="s">
        <v>242</v>
      </c>
      <c r="H86" s="64"/>
      <c r="I86" s="64">
        <v>1901620</v>
      </c>
      <c r="J86" s="61">
        <f t="shared" si="6"/>
        <v>23995146</v>
      </c>
      <c r="M86" s="155"/>
      <c r="N86" s="156"/>
      <c r="O86" s="156"/>
      <c r="P86" s="156"/>
      <c r="Q86" s="157"/>
    </row>
    <row r="87" spans="2:17">
      <c r="B87" s="41">
        <v>46179</v>
      </c>
      <c r="C87" s="42">
        <v>55</v>
      </c>
      <c r="D87" s="42">
        <v>545</v>
      </c>
      <c r="E87" s="42">
        <v>1022</v>
      </c>
      <c r="F87" s="42" t="s">
        <v>267</v>
      </c>
      <c r="G87" s="42" t="s">
        <v>240</v>
      </c>
      <c r="H87" s="64"/>
      <c r="I87" s="64">
        <v>213842</v>
      </c>
      <c r="J87" s="61">
        <f t="shared" si="6"/>
        <v>23781304</v>
      </c>
      <c r="M87" s="155"/>
      <c r="N87" s="156"/>
      <c r="O87" s="156"/>
      <c r="P87" s="156"/>
      <c r="Q87" s="157"/>
    </row>
    <row r="88" spans="2:17">
      <c r="B88" s="41">
        <v>46178</v>
      </c>
      <c r="C88" s="42">
        <v>57</v>
      </c>
      <c r="D88" s="42">
        <v>546</v>
      </c>
      <c r="E88" s="42">
        <v>958</v>
      </c>
      <c r="F88" s="42" t="s">
        <v>278</v>
      </c>
      <c r="G88" s="42" t="s">
        <v>278</v>
      </c>
      <c r="H88" s="61"/>
      <c r="I88" s="61">
        <v>210002</v>
      </c>
      <c r="J88" s="61">
        <f t="shared" si="6"/>
        <v>23571302</v>
      </c>
    </row>
    <row r="89" spans="2:17">
      <c r="B89" s="41"/>
      <c r="C89" s="42"/>
      <c r="D89" s="42"/>
      <c r="E89" s="42">
        <v>791</v>
      </c>
      <c r="F89" s="55" t="s">
        <v>327</v>
      </c>
      <c r="G89" s="55" t="s">
        <v>327</v>
      </c>
      <c r="H89" s="61"/>
      <c r="I89" s="61">
        <v>505708</v>
      </c>
      <c r="J89" s="61">
        <f t="shared" si="6"/>
        <v>23065594</v>
      </c>
    </row>
    <row r="90" spans="2:17">
      <c r="B90" s="41">
        <v>46182</v>
      </c>
      <c r="C90" s="42">
        <v>60</v>
      </c>
      <c r="D90" s="42">
        <v>570</v>
      </c>
      <c r="E90" s="42">
        <v>951</v>
      </c>
      <c r="F90" s="42" t="s">
        <v>267</v>
      </c>
      <c r="G90" s="42" t="s">
        <v>489</v>
      </c>
      <c r="H90" s="61"/>
      <c r="I90" s="61">
        <v>214200</v>
      </c>
      <c r="J90" s="61">
        <f t="shared" si="6"/>
        <v>22851394</v>
      </c>
    </row>
    <row r="91" spans="2:17">
      <c r="B91" s="41">
        <v>46191</v>
      </c>
      <c r="C91" s="42">
        <v>64</v>
      </c>
      <c r="D91" s="42" t="s">
        <v>597</v>
      </c>
      <c r="E91" s="42">
        <v>1353</v>
      </c>
      <c r="F91" s="42" t="s">
        <v>267</v>
      </c>
      <c r="G91" s="42" t="s">
        <v>267</v>
      </c>
      <c r="H91" s="61"/>
      <c r="I91" s="61">
        <v>361284</v>
      </c>
      <c r="J91" s="61">
        <f t="shared" si="6"/>
        <v>22490110</v>
      </c>
    </row>
    <row r="92" spans="2:17">
      <c r="B92" s="41">
        <v>46183</v>
      </c>
      <c r="C92" s="42">
        <v>61</v>
      </c>
      <c r="D92" s="42">
        <v>606</v>
      </c>
      <c r="E92" s="42" t="s">
        <v>701</v>
      </c>
      <c r="F92" s="42" t="s">
        <v>507</v>
      </c>
      <c r="G92" s="42" t="s">
        <v>507</v>
      </c>
      <c r="H92" s="61"/>
      <c r="I92" s="61">
        <v>207584</v>
      </c>
      <c r="J92" s="61">
        <f t="shared" si="6"/>
        <v>22282526</v>
      </c>
    </row>
    <row r="93" spans="2:17">
      <c r="B93" s="41">
        <v>46191</v>
      </c>
      <c r="C93" s="42">
        <v>63</v>
      </c>
      <c r="D93" s="42">
        <v>604</v>
      </c>
      <c r="E93" s="42">
        <v>1025</v>
      </c>
      <c r="F93" s="42" t="s">
        <v>508</v>
      </c>
      <c r="G93" s="42" t="s">
        <v>508</v>
      </c>
      <c r="H93" s="61"/>
      <c r="I93" s="61">
        <v>212890</v>
      </c>
      <c r="J93" s="61">
        <f t="shared" si="6"/>
        <v>22069636</v>
      </c>
    </row>
    <row r="94" spans="2:17">
      <c r="J94" s="61">
        <f t="shared" si="6"/>
        <v>22069636</v>
      </c>
    </row>
    <row r="95" spans="2:17">
      <c r="B95" s="341" t="s">
        <v>65</v>
      </c>
      <c r="C95" s="342"/>
      <c r="D95" s="342"/>
      <c r="E95" s="342"/>
      <c r="F95" s="342"/>
      <c r="G95" s="342"/>
      <c r="H95" s="342"/>
      <c r="I95" s="342"/>
      <c r="J95" s="343"/>
    </row>
    <row r="96" spans="2:17">
      <c r="B96" s="41"/>
      <c r="C96" s="42"/>
      <c r="D96" s="42"/>
      <c r="E96" s="42"/>
      <c r="F96" s="42" t="s">
        <v>171</v>
      </c>
      <c r="G96" s="42" t="s">
        <v>171</v>
      </c>
      <c r="H96" s="61">
        <f>+SUBVENCION!O5+SUBVENCION!P5</f>
        <v>25407336</v>
      </c>
      <c r="I96" s="61"/>
      <c r="J96" s="61">
        <f>+J94+H96-I96</f>
        <v>47476972</v>
      </c>
      <c r="L96" s="44" t="s">
        <v>65</v>
      </c>
      <c r="M96" s="97" t="s">
        <v>5</v>
      </c>
      <c r="N96" s="97" t="s">
        <v>214</v>
      </c>
      <c r="O96" s="97" t="s">
        <v>212</v>
      </c>
      <c r="P96" s="97" t="s">
        <v>213</v>
      </c>
      <c r="Q96" s="97" t="s">
        <v>7</v>
      </c>
    </row>
    <row r="97" spans="1:23">
      <c r="B97" s="41"/>
      <c r="C97" s="42"/>
      <c r="D97" s="42"/>
      <c r="E97" s="42"/>
      <c r="F97" s="42" t="s">
        <v>199</v>
      </c>
      <c r="G97" s="42" t="s">
        <v>230</v>
      </c>
      <c r="H97" s="61"/>
      <c r="I97" s="61">
        <v>18724435</v>
      </c>
      <c r="J97" s="61">
        <f>+J96+H97-I97</f>
        <v>28752537</v>
      </c>
      <c r="M97" s="37">
        <f>+H96</f>
        <v>25407336</v>
      </c>
      <c r="N97" s="51">
        <f>+M97*10%</f>
        <v>2540733.6</v>
      </c>
      <c r="O97" s="51">
        <f>+I97</f>
        <v>18724435</v>
      </c>
      <c r="P97" s="51">
        <f>I98+I99+I100+I101+I102+I103+I104+I105+I106</f>
        <v>5317722</v>
      </c>
      <c r="Q97" s="303">
        <f>+M97-N97-O97-P97</f>
        <v>-1175554.6000000015</v>
      </c>
    </row>
    <row r="98" spans="1:23">
      <c r="B98" s="41">
        <v>46210</v>
      </c>
      <c r="C98" s="42">
        <v>67</v>
      </c>
      <c r="D98" s="42">
        <v>633</v>
      </c>
      <c r="E98" s="42">
        <v>1074</v>
      </c>
      <c r="F98" s="42" t="s">
        <v>519</v>
      </c>
      <c r="G98" s="45" t="s">
        <v>271</v>
      </c>
      <c r="H98" s="61"/>
      <c r="I98" s="61">
        <v>214600</v>
      </c>
      <c r="J98" s="61">
        <f t="shared" ref="J98:J105" si="7">+J97+H98-I98</f>
        <v>28537937</v>
      </c>
      <c r="P98" s="180"/>
    </row>
    <row r="99" spans="1:23">
      <c r="B99" s="41">
        <v>46212</v>
      </c>
      <c r="C99" s="42">
        <v>69</v>
      </c>
      <c r="D99" s="42" t="s">
        <v>596</v>
      </c>
      <c r="E99" s="42">
        <v>1352</v>
      </c>
      <c r="F99" s="42" t="s">
        <v>267</v>
      </c>
      <c r="G99" s="45" t="s">
        <v>530</v>
      </c>
      <c r="H99" s="61"/>
      <c r="I99" s="61">
        <v>3678219</v>
      </c>
      <c r="J99" s="61">
        <f t="shared" si="7"/>
        <v>24859718</v>
      </c>
    </row>
    <row r="100" spans="1:23">
      <c r="B100" s="41">
        <v>46217</v>
      </c>
      <c r="C100" s="42">
        <v>70</v>
      </c>
      <c r="D100" s="42">
        <v>661</v>
      </c>
      <c r="E100" s="42">
        <v>1153</v>
      </c>
      <c r="F100" s="42" t="s">
        <v>250</v>
      </c>
      <c r="G100" s="42" t="s">
        <v>541</v>
      </c>
      <c r="H100" s="61"/>
      <c r="I100" s="61">
        <v>209601</v>
      </c>
      <c r="J100" s="61">
        <f t="shared" si="7"/>
        <v>24650117</v>
      </c>
    </row>
    <row r="101" spans="1:23">
      <c r="A101" s="35"/>
      <c r="B101" s="41">
        <v>46223</v>
      </c>
      <c r="C101" s="42">
        <v>74</v>
      </c>
      <c r="D101" s="42">
        <v>686</v>
      </c>
      <c r="E101" s="42">
        <v>1152</v>
      </c>
      <c r="F101" s="42" t="s">
        <v>250</v>
      </c>
      <c r="G101" s="42" t="s">
        <v>548</v>
      </c>
      <c r="H101" s="61"/>
      <c r="I101" s="61">
        <v>213271</v>
      </c>
      <c r="J101" s="61">
        <f t="shared" si="7"/>
        <v>24436846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</row>
    <row r="102" spans="1:23">
      <c r="A102" s="35"/>
      <c r="B102" s="41"/>
      <c r="C102" s="42"/>
      <c r="D102" s="42"/>
      <c r="E102" s="42">
        <v>995</v>
      </c>
      <c r="F102" s="55" t="s">
        <v>327</v>
      </c>
      <c r="G102" s="55" t="s">
        <v>327</v>
      </c>
      <c r="H102" s="61"/>
      <c r="I102" s="61">
        <v>508141</v>
      </c>
      <c r="J102" s="61">
        <f t="shared" si="7"/>
        <v>23928705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</row>
    <row r="103" spans="1:23">
      <c r="A103" s="35"/>
      <c r="B103" s="41">
        <v>46234</v>
      </c>
      <c r="C103" s="42">
        <v>76</v>
      </c>
      <c r="D103" s="42">
        <v>744</v>
      </c>
      <c r="E103" s="42">
        <v>1287</v>
      </c>
      <c r="F103" s="42" t="s">
        <v>449</v>
      </c>
      <c r="G103" s="42" t="s">
        <v>606</v>
      </c>
      <c r="H103" s="61"/>
      <c r="I103" s="61">
        <v>65000</v>
      </c>
      <c r="J103" s="61">
        <f t="shared" si="7"/>
        <v>23863705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</row>
    <row r="104" spans="1:23">
      <c r="A104" s="35"/>
      <c r="B104" s="41">
        <v>46234</v>
      </c>
      <c r="C104" s="42">
        <v>77</v>
      </c>
      <c r="D104" s="42">
        <v>757</v>
      </c>
      <c r="E104" s="42">
        <v>1344</v>
      </c>
      <c r="F104" s="42" t="s">
        <v>250</v>
      </c>
      <c r="G104" s="42" t="s">
        <v>548</v>
      </c>
      <c r="H104" s="61"/>
      <c r="I104" s="61">
        <v>214890</v>
      </c>
      <c r="J104" s="61">
        <f t="shared" si="7"/>
        <v>23648815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</row>
    <row r="105" spans="1:23">
      <c r="A105" s="35"/>
      <c r="B105" s="41">
        <v>46218</v>
      </c>
      <c r="C105" s="42">
        <v>71</v>
      </c>
      <c r="D105" s="42">
        <v>662</v>
      </c>
      <c r="E105" s="42">
        <v>1147</v>
      </c>
      <c r="F105" s="42" t="s">
        <v>519</v>
      </c>
      <c r="G105" s="42" t="s">
        <v>271</v>
      </c>
      <c r="H105" s="61"/>
      <c r="I105" s="61">
        <v>214000</v>
      </c>
      <c r="J105" s="61">
        <f t="shared" si="7"/>
        <v>23434815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</row>
    <row r="106" spans="1:23">
      <c r="A106" s="35"/>
      <c r="B106" s="41"/>
      <c r="C106" s="42"/>
      <c r="D106" s="42"/>
      <c r="E106" s="42"/>
      <c r="F106" s="42"/>
      <c r="G106" s="42"/>
      <c r="H106" s="61"/>
      <c r="I106" s="61"/>
      <c r="J106" s="61">
        <f>+J105+H106-I106</f>
        <v>23434815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</row>
    <row r="107" spans="1:23">
      <c r="A107" s="35"/>
      <c r="B107" s="320" t="s">
        <v>130</v>
      </c>
      <c r="C107" s="321"/>
      <c r="D107" s="321"/>
      <c r="E107" s="321"/>
      <c r="F107" s="321"/>
      <c r="G107" s="321"/>
      <c r="H107" s="321"/>
      <c r="I107" s="321"/>
      <c r="J107" s="322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</row>
    <row r="108" spans="1:23">
      <c r="A108" s="35"/>
      <c r="B108" s="41"/>
      <c r="C108" s="42"/>
      <c r="D108" s="42"/>
      <c r="E108" s="42"/>
      <c r="F108" s="42" t="s">
        <v>171</v>
      </c>
      <c r="G108" s="42" t="s">
        <v>171</v>
      </c>
      <c r="H108" s="37">
        <f>+SUBVENCION!Q5+SUBVENCION!R5</f>
        <v>25004061</v>
      </c>
      <c r="I108" s="37"/>
      <c r="J108" s="43">
        <f>+J106+H108-I108</f>
        <v>48438876</v>
      </c>
      <c r="K108" s="35"/>
      <c r="L108" s="35" t="s">
        <v>130</v>
      </c>
      <c r="M108" s="97" t="s">
        <v>5</v>
      </c>
      <c r="N108" s="97" t="s">
        <v>214</v>
      </c>
      <c r="O108" s="97" t="s">
        <v>212</v>
      </c>
      <c r="P108" s="97" t="s">
        <v>213</v>
      </c>
      <c r="Q108" s="97" t="s">
        <v>7</v>
      </c>
      <c r="R108" s="35"/>
      <c r="S108" s="35"/>
      <c r="T108" s="35"/>
      <c r="U108" s="35"/>
      <c r="V108" s="35"/>
      <c r="W108" s="35"/>
    </row>
    <row r="109" spans="1:23">
      <c r="A109" s="35"/>
      <c r="B109" s="41"/>
      <c r="C109" s="42"/>
      <c r="D109" s="42"/>
      <c r="E109" s="42"/>
      <c r="F109" s="42" t="s">
        <v>199</v>
      </c>
      <c r="G109" s="42" t="s">
        <v>199</v>
      </c>
      <c r="H109" s="37"/>
      <c r="I109" s="37">
        <v>19777746</v>
      </c>
      <c r="J109" s="43">
        <f>+J108+H109-I109</f>
        <v>28661130</v>
      </c>
      <c r="K109" s="35"/>
      <c r="L109" s="35"/>
      <c r="M109" s="37">
        <f>+H108</f>
        <v>25004061</v>
      </c>
      <c r="N109" s="51">
        <f>+M109*10%</f>
        <v>2500406.1</v>
      </c>
      <c r="O109" s="51">
        <f>+I109</f>
        <v>19777746</v>
      </c>
      <c r="P109" s="51">
        <f>SUM(I110:I118)</f>
        <v>5675151</v>
      </c>
      <c r="Q109" s="303">
        <f>+M109-N109-O109-P109</f>
        <v>-2949242.1000000015</v>
      </c>
      <c r="R109" s="35"/>
      <c r="S109" s="35"/>
      <c r="T109" s="35"/>
      <c r="U109" s="35"/>
      <c r="V109" s="35"/>
      <c r="W109" s="35"/>
    </row>
    <row r="110" spans="1:23">
      <c r="A110" s="35"/>
      <c r="B110" s="41"/>
      <c r="C110" s="42"/>
      <c r="D110" s="42"/>
      <c r="E110" s="42">
        <v>1405</v>
      </c>
      <c r="F110" s="55" t="s">
        <v>327</v>
      </c>
      <c r="G110" s="55" t="s">
        <v>327</v>
      </c>
      <c r="H110" s="37"/>
      <c r="I110" s="37">
        <v>508412</v>
      </c>
      <c r="J110" s="43">
        <f t="shared" ref="J110:J111" si="8">+J109+H110-I110</f>
        <v>28152718</v>
      </c>
      <c r="K110" s="35"/>
      <c r="L110" s="35"/>
      <c r="M110" s="155"/>
      <c r="N110" s="156"/>
      <c r="O110" s="156"/>
      <c r="P110" s="156"/>
      <c r="Q110" s="157"/>
      <c r="R110" s="35"/>
      <c r="S110" s="35"/>
      <c r="T110" s="35"/>
      <c r="U110" s="35"/>
      <c r="V110" s="35"/>
      <c r="W110" s="35"/>
    </row>
    <row r="111" spans="1:23">
      <c r="A111" s="35"/>
      <c r="B111" s="41">
        <v>46237</v>
      </c>
      <c r="C111" s="42">
        <v>78</v>
      </c>
      <c r="D111" s="42">
        <v>758</v>
      </c>
      <c r="E111" s="42">
        <v>1348</v>
      </c>
      <c r="F111" s="42" t="s">
        <v>250</v>
      </c>
      <c r="G111" s="42" t="s">
        <v>608</v>
      </c>
      <c r="H111" s="61"/>
      <c r="I111" s="51">
        <v>214200</v>
      </c>
      <c r="J111" s="43">
        <f t="shared" si="8"/>
        <v>27938518</v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</row>
    <row r="112" spans="1:23">
      <c r="A112" s="35"/>
      <c r="B112" s="41">
        <v>46237</v>
      </c>
      <c r="C112" s="42">
        <v>79</v>
      </c>
      <c r="D112" s="42">
        <v>759</v>
      </c>
      <c r="E112" s="42">
        <v>1346</v>
      </c>
      <c r="F112" s="42" t="s">
        <v>353</v>
      </c>
      <c r="G112" s="42" t="s">
        <v>353</v>
      </c>
      <c r="H112" s="61"/>
      <c r="I112" s="51">
        <v>214200</v>
      </c>
      <c r="J112" s="43">
        <f t="shared" ref="J112:J118" si="9">+J111+H112-I112</f>
        <v>27724318</v>
      </c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</row>
    <row r="113" spans="1:23">
      <c r="A113" s="35"/>
      <c r="B113" s="41">
        <v>46245</v>
      </c>
      <c r="C113" s="42">
        <v>84</v>
      </c>
      <c r="D113" s="42" t="s">
        <v>757</v>
      </c>
      <c r="E113" s="42"/>
      <c r="F113" s="42" t="s">
        <v>267</v>
      </c>
      <c r="G113" s="45" t="s">
        <v>758</v>
      </c>
      <c r="H113" s="61"/>
      <c r="I113" s="51">
        <v>2906819</v>
      </c>
      <c r="J113" s="43">
        <f t="shared" si="9"/>
        <v>24817499</v>
      </c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</row>
    <row r="114" spans="1:23">
      <c r="A114" s="35"/>
      <c r="B114" s="41">
        <v>46245</v>
      </c>
      <c r="C114" s="42">
        <v>85</v>
      </c>
      <c r="D114" s="42" t="s">
        <v>748</v>
      </c>
      <c r="E114" s="79"/>
      <c r="F114" s="42" t="s">
        <v>644</v>
      </c>
      <c r="G114" s="45" t="s">
        <v>381</v>
      </c>
      <c r="H114" s="61"/>
      <c r="I114" s="51">
        <v>1190000</v>
      </c>
      <c r="J114" s="43">
        <f t="shared" si="9"/>
        <v>23627499</v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</row>
    <row r="115" spans="1:23">
      <c r="A115" s="35"/>
      <c r="B115" s="41">
        <v>46254</v>
      </c>
      <c r="C115" s="42">
        <v>86</v>
      </c>
      <c r="D115" s="42">
        <v>837</v>
      </c>
      <c r="E115" s="42"/>
      <c r="F115" s="42" t="s">
        <v>669</v>
      </c>
      <c r="G115" s="45" t="s">
        <v>336</v>
      </c>
      <c r="H115" s="61"/>
      <c r="I115" s="51">
        <v>214498</v>
      </c>
      <c r="J115" s="43">
        <f>+J114+H115-I115</f>
        <v>23413001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</row>
    <row r="116" spans="1:23">
      <c r="A116" s="35"/>
      <c r="B116" s="41">
        <v>46254</v>
      </c>
      <c r="C116" s="42">
        <v>87</v>
      </c>
      <c r="D116" s="42">
        <v>839</v>
      </c>
      <c r="E116" s="42"/>
      <c r="F116" s="42" t="s">
        <v>519</v>
      </c>
      <c r="G116" s="45" t="s">
        <v>281</v>
      </c>
      <c r="H116" s="61"/>
      <c r="I116" s="51">
        <v>214000</v>
      </c>
      <c r="J116" s="43">
        <f t="shared" ref="J116:J117" si="10">+J115+H116-I116</f>
        <v>23199001</v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</row>
    <row r="117" spans="1:23">
      <c r="A117" s="35"/>
      <c r="B117" s="41">
        <v>46254</v>
      </c>
      <c r="C117" s="42">
        <v>88</v>
      </c>
      <c r="D117" s="42">
        <v>836</v>
      </c>
      <c r="E117" s="42"/>
      <c r="F117" s="42" t="s">
        <v>250</v>
      </c>
      <c r="G117" s="42" t="s">
        <v>668</v>
      </c>
      <c r="H117" s="37"/>
      <c r="I117" s="51">
        <v>213022</v>
      </c>
      <c r="J117" s="43">
        <f t="shared" si="10"/>
        <v>22985979</v>
      </c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</row>
    <row r="118" spans="1:23">
      <c r="A118" s="35"/>
      <c r="B118" s="41"/>
      <c r="C118" s="42"/>
      <c r="D118" s="42"/>
      <c r="E118" s="42"/>
      <c r="F118" s="42"/>
      <c r="G118" s="45"/>
      <c r="H118" s="61"/>
      <c r="I118" s="51"/>
      <c r="J118" s="43">
        <f t="shared" si="9"/>
        <v>22985979</v>
      </c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</row>
    <row r="119" spans="1:23">
      <c r="A119" s="35"/>
      <c r="B119" s="320" t="s">
        <v>131</v>
      </c>
      <c r="C119" s="321"/>
      <c r="D119" s="321"/>
      <c r="E119" s="321"/>
      <c r="F119" s="321"/>
      <c r="G119" s="321"/>
      <c r="H119" s="321"/>
      <c r="I119" s="321"/>
      <c r="J119" s="322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</row>
    <row r="120" spans="1:23">
      <c r="A120" s="35"/>
      <c r="B120" s="167"/>
      <c r="C120" s="42"/>
      <c r="D120" s="42"/>
      <c r="E120" s="42"/>
      <c r="F120" s="42" t="s">
        <v>171</v>
      </c>
      <c r="G120" s="42" t="s">
        <v>171</v>
      </c>
      <c r="H120" s="61">
        <f>+SUBVENCION!S5+SUBVENCION!T5</f>
        <v>24868587</v>
      </c>
      <c r="I120" s="61"/>
      <c r="J120" s="43">
        <f>+J118+H120-I120</f>
        <v>47854566</v>
      </c>
      <c r="K120" s="35"/>
      <c r="L120" s="35" t="s">
        <v>131</v>
      </c>
      <c r="M120" s="97" t="s">
        <v>5</v>
      </c>
      <c r="N120" s="97" t="s">
        <v>214</v>
      </c>
      <c r="O120" s="97" t="s">
        <v>212</v>
      </c>
      <c r="P120" s="97" t="s">
        <v>213</v>
      </c>
      <c r="Q120" s="97" t="s">
        <v>7</v>
      </c>
      <c r="R120" s="35"/>
      <c r="S120" s="35"/>
      <c r="T120" s="35"/>
      <c r="U120" s="35"/>
      <c r="V120" s="35"/>
      <c r="W120" s="35"/>
    </row>
    <row r="121" spans="1:23">
      <c r="A121" s="35"/>
      <c r="B121" s="41"/>
      <c r="C121" s="42"/>
      <c r="D121" s="42"/>
      <c r="E121" s="42"/>
      <c r="F121" s="42" t="s">
        <v>199</v>
      </c>
      <c r="G121" s="42" t="s">
        <v>199</v>
      </c>
      <c r="H121" s="61"/>
      <c r="I121" s="61">
        <v>20102850</v>
      </c>
      <c r="J121" s="43">
        <f>+J120+H121-I121</f>
        <v>27751716</v>
      </c>
      <c r="K121" s="35"/>
      <c r="L121" s="35"/>
      <c r="M121" s="37">
        <f>+H120</f>
        <v>24868587</v>
      </c>
      <c r="N121" s="51">
        <f>+M121*10%</f>
        <v>2486858.7000000002</v>
      </c>
      <c r="O121" s="51">
        <f>+I121</f>
        <v>20102850</v>
      </c>
      <c r="P121" s="51">
        <f>SUM(I122:I130)</f>
        <v>11258075</v>
      </c>
      <c r="Q121" s="303">
        <f>+M121-N121-O121-P121</f>
        <v>-8979196.6999999993</v>
      </c>
      <c r="R121" s="35"/>
      <c r="S121" s="35"/>
      <c r="T121" s="35"/>
      <c r="U121" s="35"/>
      <c r="V121" s="35"/>
      <c r="W121" s="35"/>
    </row>
    <row r="122" spans="1:23">
      <c r="A122" s="35"/>
      <c r="B122" s="41">
        <v>46279</v>
      </c>
      <c r="C122" s="42">
        <v>92</v>
      </c>
      <c r="D122" s="42">
        <v>978</v>
      </c>
      <c r="E122" s="79"/>
      <c r="F122" s="45" t="s">
        <v>507</v>
      </c>
      <c r="G122" s="42" t="s">
        <v>507</v>
      </c>
      <c r="H122" s="61"/>
      <c r="I122" s="61">
        <v>214000</v>
      </c>
      <c r="J122" s="43">
        <f t="shared" ref="J122:J132" si="11">+J121+H122-I122</f>
        <v>27537716</v>
      </c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</row>
    <row r="123" spans="1:23">
      <c r="A123" s="35"/>
      <c r="B123" s="41">
        <v>46289</v>
      </c>
      <c r="C123" s="42">
        <v>95</v>
      </c>
      <c r="D123" s="42">
        <v>1009</v>
      </c>
      <c r="E123" s="79"/>
      <c r="F123" s="42" t="s">
        <v>250</v>
      </c>
      <c r="G123" s="45" t="s">
        <v>250</v>
      </c>
      <c r="H123" s="61"/>
      <c r="I123" s="37">
        <v>214870</v>
      </c>
      <c r="J123" s="43">
        <f t="shared" si="11"/>
        <v>27322846</v>
      </c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</row>
    <row r="124" spans="1:23">
      <c r="A124" s="35"/>
      <c r="B124" s="41">
        <v>46289</v>
      </c>
      <c r="C124" s="42">
        <v>96</v>
      </c>
      <c r="D124" s="42">
        <v>1010</v>
      </c>
      <c r="E124" s="79"/>
      <c r="F124" s="42" t="s">
        <v>519</v>
      </c>
      <c r="G124" s="45" t="s">
        <v>281</v>
      </c>
      <c r="H124" s="61"/>
      <c r="I124" s="37">
        <v>198459</v>
      </c>
      <c r="J124" s="43">
        <f t="shared" si="11"/>
        <v>27124387</v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</row>
    <row r="125" spans="1:23">
      <c r="A125" s="35"/>
      <c r="B125" s="41">
        <v>46289</v>
      </c>
      <c r="C125" s="42">
        <v>97</v>
      </c>
      <c r="D125" s="42">
        <v>1011</v>
      </c>
      <c r="E125" s="79"/>
      <c r="F125" s="42" t="s">
        <v>669</v>
      </c>
      <c r="G125" s="45" t="s">
        <v>762</v>
      </c>
      <c r="H125" s="61"/>
      <c r="I125" s="37">
        <v>214897</v>
      </c>
      <c r="J125" s="43">
        <f t="shared" si="11"/>
        <v>26909490</v>
      </c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</row>
    <row r="126" spans="1:23">
      <c r="A126" s="35"/>
      <c r="B126" s="41">
        <v>46273</v>
      </c>
      <c r="C126" s="42">
        <v>90</v>
      </c>
      <c r="D126" s="42">
        <v>950</v>
      </c>
      <c r="E126" s="42"/>
      <c r="F126" s="42" t="s">
        <v>507</v>
      </c>
      <c r="G126" s="45" t="s">
        <v>507</v>
      </c>
      <c r="H126" s="61"/>
      <c r="I126" s="61">
        <v>212677</v>
      </c>
      <c r="J126" s="43">
        <f t="shared" si="11"/>
        <v>26696813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</row>
    <row r="127" spans="1:23">
      <c r="A127" s="35"/>
      <c r="B127" s="41">
        <v>46273</v>
      </c>
      <c r="C127" s="42">
        <v>93</v>
      </c>
      <c r="D127" s="42">
        <v>951</v>
      </c>
      <c r="E127" s="42"/>
      <c r="F127" s="42" t="s">
        <v>267</v>
      </c>
      <c r="G127" s="45" t="s">
        <v>727</v>
      </c>
      <c r="H127" s="61"/>
      <c r="I127" s="61">
        <v>212983</v>
      </c>
      <c r="J127" s="43">
        <f t="shared" si="11"/>
        <v>26483830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</row>
    <row r="128" spans="1:23">
      <c r="A128" s="35"/>
      <c r="B128" s="41">
        <v>46273</v>
      </c>
      <c r="C128" s="42">
        <v>94</v>
      </c>
      <c r="D128" s="42">
        <v>952</v>
      </c>
      <c r="E128" s="42"/>
      <c r="F128" s="42" t="s">
        <v>267</v>
      </c>
      <c r="G128" s="45" t="s">
        <v>556</v>
      </c>
      <c r="H128" s="61"/>
      <c r="I128" s="61">
        <v>208780</v>
      </c>
      <c r="J128" s="43">
        <f t="shared" si="11"/>
        <v>26275050</v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</row>
    <row r="129" spans="1:23">
      <c r="A129" s="35"/>
      <c r="B129" s="41">
        <v>46289</v>
      </c>
      <c r="C129" s="42">
        <v>98</v>
      </c>
      <c r="D129" s="42" t="s">
        <v>354</v>
      </c>
      <c r="E129" s="42"/>
      <c r="F129" s="42" t="s">
        <v>776</v>
      </c>
      <c r="G129" s="42" t="s">
        <v>776</v>
      </c>
      <c r="H129" s="61"/>
      <c r="I129" s="61">
        <v>9567744</v>
      </c>
      <c r="J129" s="43">
        <f t="shared" si="11"/>
        <v>16707306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</row>
    <row r="130" spans="1:23">
      <c r="A130" s="35"/>
      <c r="B130" s="41">
        <v>46294</v>
      </c>
      <c r="C130" s="42">
        <v>99</v>
      </c>
      <c r="D130" s="42">
        <v>1041</v>
      </c>
      <c r="E130" s="79"/>
      <c r="F130" s="42" t="s">
        <v>507</v>
      </c>
      <c r="G130" s="42" t="s">
        <v>507</v>
      </c>
      <c r="H130" s="61"/>
      <c r="I130" s="61">
        <v>213665</v>
      </c>
      <c r="J130" s="43">
        <f>+J129+H130-I130</f>
        <v>16493641</v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</row>
    <row r="131" spans="1:23">
      <c r="A131" s="35"/>
      <c r="B131" s="41"/>
      <c r="C131" s="42"/>
      <c r="D131" s="42"/>
      <c r="E131" s="42"/>
      <c r="F131" s="42"/>
      <c r="G131" s="45"/>
      <c r="H131" s="61"/>
      <c r="I131" s="61"/>
      <c r="J131" s="43">
        <f t="shared" si="11"/>
        <v>16493641</v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</row>
    <row r="132" spans="1:23">
      <c r="A132" s="35"/>
      <c r="B132" s="41"/>
      <c r="C132" s="42"/>
      <c r="D132" s="42"/>
      <c r="E132" s="42"/>
      <c r="F132" s="42"/>
      <c r="G132" s="42"/>
      <c r="H132" s="61"/>
      <c r="I132" s="61"/>
      <c r="J132" s="43">
        <f t="shared" si="11"/>
        <v>16493641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</row>
    <row r="133" spans="1:23" ht="15" customHeight="1">
      <c r="A133" s="35"/>
      <c r="B133" s="368" t="s">
        <v>232</v>
      </c>
      <c r="C133" s="369"/>
      <c r="D133" s="369"/>
      <c r="E133" s="369"/>
      <c r="F133" s="369"/>
      <c r="G133" s="369"/>
      <c r="H133" s="369"/>
      <c r="I133" s="369"/>
      <c r="J133" s="370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</row>
    <row r="134" spans="1:23">
      <c r="A134" s="35"/>
      <c r="B134" s="167"/>
      <c r="C134" s="42"/>
      <c r="D134" s="42"/>
      <c r="E134" s="42"/>
      <c r="F134" s="42" t="s">
        <v>171</v>
      </c>
      <c r="G134" s="42" t="s">
        <v>171</v>
      </c>
      <c r="H134" s="37">
        <f>+SUBVENCION!U5+SUBVENCION!V5</f>
        <v>0</v>
      </c>
      <c r="I134" s="37"/>
      <c r="J134" s="43">
        <f>+J132+H134-I134</f>
        <v>16493641</v>
      </c>
      <c r="K134" s="35"/>
      <c r="L134" s="35" t="s">
        <v>132</v>
      </c>
      <c r="M134" s="97" t="s">
        <v>5</v>
      </c>
      <c r="N134" s="97" t="s">
        <v>214</v>
      </c>
      <c r="O134" s="97" t="s">
        <v>212</v>
      </c>
      <c r="P134" s="97" t="s">
        <v>213</v>
      </c>
      <c r="Q134" s="97" t="s">
        <v>7</v>
      </c>
      <c r="R134" s="35"/>
      <c r="S134" s="35"/>
      <c r="T134" s="35"/>
      <c r="U134" s="35"/>
      <c r="V134" s="35"/>
      <c r="W134" s="35"/>
    </row>
    <row r="135" spans="1:23">
      <c r="A135" s="35"/>
      <c r="B135" s="41"/>
      <c r="C135" s="42"/>
      <c r="D135" s="42"/>
      <c r="E135" s="42"/>
      <c r="F135" s="42" t="s">
        <v>199</v>
      </c>
      <c r="G135" s="42" t="s">
        <v>199</v>
      </c>
      <c r="H135" s="61"/>
      <c r="I135" s="61"/>
      <c r="J135" s="43">
        <f>+J134+H135-I135</f>
        <v>16493641</v>
      </c>
      <c r="K135" s="35"/>
      <c r="L135" s="35"/>
      <c r="M135" s="37">
        <f>+H134</f>
        <v>0</v>
      </c>
      <c r="N135" s="51">
        <f>+M135*10%</f>
        <v>0</v>
      </c>
      <c r="O135" s="51">
        <f>+I135</f>
        <v>0</v>
      </c>
      <c r="P135" s="51">
        <f>+I136+I137+I138+I139+I140+I141+I142+I143+I144</f>
        <v>0</v>
      </c>
      <c r="Q135" s="303">
        <f>+M135-N135-O135-P135</f>
        <v>0</v>
      </c>
      <c r="R135" s="35"/>
      <c r="S135" s="35"/>
      <c r="T135" s="35"/>
      <c r="U135" s="35"/>
      <c r="V135" s="35"/>
      <c r="W135" s="35"/>
    </row>
    <row r="136" spans="1:23">
      <c r="A136" s="35"/>
      <c r="B136" s="41"/>
      <c r="C136" s="42"/>
      <c r="D136" s="42"/>
      <c r="E136" s="42"/>
      <c r="F136" s="42"/>
      <c r="G136" s="45"/>
      <c r="H136" s="61"/>
      <c r="I136" s="61"/>
      <c r="J136" s="43">
        <f t="shared" ref="J136:J148" si="12">+J135+H136-I136</f>
        <v>16493641</v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</row>
    <row r="137" spans="1:23">
      <c r="A137" s="35"/>
      <c r="B137" s="41"/>
      <c r="C137" s="42"/>
      <c r="D137" s="42"/>
      <c r="E137" s="42"/>
      <c r="F137" s="42"/>
      <c r="G137" s="45"/>
      <c r="H137" s="61"/>
      <c r="I137" s="61"/>
      <c r="J137" s="43">
        <f t="shared" si="12"/>
        <v>16493641</v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</row>
    <row r="138" spans="1:23">
      <c r="A138" s="35"/>
      <c r="B138" s="41"/>
      <c r="C138" s="42"/>
      <c r="D138" s="42"/>
      <c r="E138" s="42"/>
      <c r="F138" s="42"/>
      <c r="G138" s="45"/>
      <c r="H138" s="61"/>
      <c r="I138" s="61"/>
      <c r="J138" s="43">
        <f t="shared" si="12"/>
        <v>16493641</v>
      </c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</row>
    <row r="139" spans="1:23">
      <c r="A139" s="35"/>
      <c r="B139" s="41"/>
      <c r="C139" s="42"/>
      <c r="D139" s="42"/>
      <c r="E139" s="42"/>
      <c r="F139" s="42"/>
      <c r="G139" s="45"/>
      <c r="H139" s="61"/>
      <c r="I139" s="61"/>
      <c r="J139" s="43">
        <f t="shared" si="12"/>
        <v>16493641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</row>
    <row r="140" spans="1:23">
      <c r="A140" s="35"/>
      <c r="B140" s="41"/>
      <c r="C140" s="42"/>
      <c r="D140" s="42"/>
      <c r="E140" s="42"/>
      <c r="F140" s="42"/>
      <c r="G140" s="42"/>
      <c r="H140" s="61"/>
      <c r="I140" s="61"/>
      <c r="J140" s="43">
        <f t="shared" si="12"/>
        <v>16493641</v>
      </c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</row>
    <row r="141" spans="1:23">
      <c r="A141" s="35"/>
      <c r="B141" s="41"/>
      <c r="C141" s="42"/>
      <c r="D141" s="42"/>
      <c r="E141" s="42"/>
      <c r="F141" s="42"/>
      <c r="G141" s="45"/>
      <c r="H141" s="37"/>
      <c r="I141" s="61"/>
      <c r="J141" s="43">
        <f t="shared" si="12"/>
        <v>16493641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</row>
    <row r="142" spans="1:23">
      <c r="A142" s="35"/>
      <c r="B142" s="41"/>
      <c r="C142" s="42"/>
      <c r="D142" s="42"/>
      <c r="E142" s="42"/>
      <c r="F142" s="42"/>
      <c r="G142" s="42"/>
      <c r="H142" s="37"/>
      <c r="I142" s="61"/>
      <c r="J142" s="43">
        <f t="shared" si="12"/>
        <v>16493641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</row>
    <row r="143" spans="1:23">
      <c r="A143" s="35"/>
      <c r="B143" s="41"/>
      <c r="C143" s="42"/>
      <c r="D143" s="42"/>
      <c r="E143" s="42"/>
      <c r="F143" s="42"/>
      <c r="G143" s="42"/>
      <c r="H143" s="37"/>
      <c r="I143" s="61"/>
      <c r="J143" s="43">
        <f>+J142+H143-I143</f>
        <v>16493641</v>
      </c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</row>
    <row r="144" spans="1:23">
      <c r="A144" s="35"/>
      <c r="B144" s="41"/>
      <c r="C144" s="42"/>
      <c r="D144" s="42"/>
      <c r="E144" s="42"/>
      <c r="F144" s="45"/>
      <c r="G144" s="42"/>
      <c r="H144" s="37"/>
      <c r="I144" s="61"/>
      <c r="J144" s="43">
        <f t="shared" si="12"/>
        <v>16493641</v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</row>
    <row r="145" spans="1:23">
      <c r="A145" s="35"/>
      <c r="B145" s="41"/>
      <c r="C145" s="42"/>
      <c r="D145" s="42"/>
      <c r="E145" s="42"/>
      <c r="F145" s="42"/>
      <c r="G145" s="42"/>
      <c r="H145" s="37"/>
      <c r="I145" s="61"/>
      <c r="J145" s="43">
        <f t="shared" si="12"/>
        <v>16493641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</row>
    <row r="146" spans="1:23">
      <c r="A146" s="35"/>
      <c r="B146" s="41"/>
      <c r="C146" s="42"/>
      <c r="D146" s="42"/>
      <c r="E146" s="42"/>
      <c r="F146" s="42"/>
      <c r="G146" s="42"/>
      <c r="H146" s="37"/>
      <c r="I146" s="61"/>
      <c r="J146" s="43">
        <f t="shared" si="12"/>
        <v>16493641</v>
      </c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</row>
    <row r="147" spans="1:23">
      <c r="A147" s="35"/>
      <c r="B147" s="41"/>
      <c r="C147" s="42"/>
      <c r="D147" s="42"/>
      <c r="E147" s="42"/>
      <c r="F147" s="42"/>
      <c r="G147" s="42"/>
      <c r="H147" s="37"/>
      <c r="I147" s="61"/>
      <c r="J147" s="43">
        <f t="shared" si="12"/>
        <v>16493641</v>
      </c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</row>
    <row r="148" spans="1:23">
      <c r="A148" s="35"/>
      <c r="B148" s="41"/>
      <c r="C148" s="42"/>
      <c r="D148" s="42"/>
      <c r="E148" s="42"/>
      <c r="F148" s="42"/>
      <c r="G148" s="42"/>
      <c r="H148" s="37"/>
      <c r="I148" s="61"/>
      <c r="J148" s="43">
        <f t="shared" si="12"/>
        <v>16493641</v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</row>
    <row r="149" spans="1:23">
      <c r="A149" s="35"/>
      <c r="B149" s="41"/>
      <c r="C149" s="166"/>
      <c r="D149" s="166"/>
      <c r="E149" s="166"/>
      <c r="F149" s="166"/>
      <c r="G149" s="166"/>
      <c r="H149" s="166"/>
      <c r="I149" s="166"/>
      <c r="J149" s="168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</row>
    <row r="150" spans="1:23">
      <c r="A150" s="35"/>
      <c r="B150" s="167" t="s">
        <v>133</v>
      </c>
      <c r="C150" s="42"/>
      <c r="D150" s="42"/>
      <c r="E150" s="42"/>
      <c r="F150" s="42" t="s">
        <v>171</v>
      </c>
      <c r="G150" s="42" t="s">
        <v>171</v>
      </c>
      <c r="H150" s="61">
        <f>+SUBVENCION!W5+SUBVENCION!X5</f>
        <v>0</v>
      </c>
      <c r="I150" s="61"/>
      <c r="J150" s="43">
        <f>+J148+H150-I150</f>
        <v>16493641</v>
      </c>
      <c r="K150" s="35"/>
      <c r="L150" s="35" t="s">
        <v>133</v>
      </c>
      <c r="M150" s="97" t="s">
        <v>5</v>
      </c>
      <c r="N150" s="97" t="s">
        <v>214</v>
      </c>
      <c r="O150" s="97" t="s">
        <v>212</v>
      </c>
      <c r="P150" s="97" t="s">
        <v>213</v>
      </c>
      <c r="Q150" s="97" t="s">
        <v>7</v>
      </c>
      <c r="R150" s="35"/>
      <c r="S150" s="35"/>
      <c r="T150" s="35"/>
      <c r="U150" s="35"/>
      <c r="V150" s="35"/>
      <c r="W150" s="35"/>
    </row>
    <row r="151" spans="1:23">
      <c r="A151" s="35"/>
      <c r="B151" s="41"/>
      <c r="C151" s="42"/>
      <c r="D151" s="42"/>
      <c r="E151" s="42"/>
      <c r="F151" s="42" t="s">
        <v>199</v>
      </c>
      <c r="G151" s="42" t="s">
        <v>199</v>
      </c>
      <c r="H151" s="61"/>
      <c r="I151" s="61"/>
      <c r="J151" s="43">
        <f>+J150+H151-I151</f>
        <v>16493641</v>
      </c>
      <c r="K151" s="35"/>
      <c r="L151" s="35"/>
      <c r="M151" s="37">
        <f>+H150</f>
        <v>0</v>
      </c>
      <c r="N151" s="51">
        <f>+M151*10%</f>
        <v>0</v>
      </c>
      <c r="O151" s="51">
        <f>+I151</f>
        <v>0</v>
      </c>
      <c r="P151" s="51">
        <f>SUM(I151:I161)</f>
        <v>0</v>
      </c>
      <c r="Q151" s="303">
        <f>+M151-N151-O151-P151</f>
        <v>0</v>
      </c>
      <c r="R151" s="35"/>
      <c r="S151" s="35"/>
      <c r="T151" s="35"/>
      <c r="U151" s="35"/>
      <c r="V151" s="35"/>
      <c r="W151" s="35"/>
    </row>
    <row r="152" spans="1:23" s="89" customFormat="1">
      <c r="A152" s="88"/>
      <c r="B152" s="41"/>
      <c r="C152" s="42"/>
      <c r="D152" s="42"/>
      <c r="E152" s="42"/>
      <c r="F152" s="42"/>
      <c r="G152" s="45"/>
      <c r="H152" s="61"/>
      <c r="I152" s="61"/>
      <c r="J152" s="43">
        <f t="shared" ref="J152:J176" si="13">+J151+H152-I152</f>
        <v>16493641</v>
      </c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</row>
    <row r="153" spans="1:23">
      <c r="A153" s="35"/>
      <c r="B153" s="41"/>
      <c r="C153" s="42"/>
      <c r="D153" s="42"/>
      <c r="E153" s="42"/>
      <c r="F153" s="42"/>
      <c r="G153" s="45"/>
      <c r="H153" s="61"/>
      <c r="I153" s="61"/>
      <c r="J153" s="43">
        <f t="shared" si="13"/>
        <v>16493641</v>
      </c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</row>
    <row r="154" spans="1:23">
      <c r="A154" s="35"/>
      <c r="B154" s="41"/>
      <c r="C154" s="42"/>
      <c r="D154" s="42"/>
      <c r="E154" s="42"/>
      <c r="F154" s="42"/>
      <c r="G154" s="45"/>
      <c r="H154" s="61"/>
      <c r="I154" s="61"/>
      <c r="J154" s="43">
        <f t="shared" si="13"/>
        <v>16493641</v>
      </c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</row>
    <row r="155" spans="1:23">
      <c r="A155" s="35"/>
      <c r="B155" s="41"/>
      <c r="C155" s="42"/>
      <c r="D155" s="42"/>
      <c r="E155" s="42"/>
      <c r="F155" s="42"/>
      <c r="G155" s="45"/>
      <c r="H155" s="61"/>
      <c r="I155" s="61"/>
      <c r="J155" s="43">
        <f t="shared" si="13"/>
        <v>16493641</v>
      </c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</row>
    <row r="156" spans="1:23">
      <c r="A156" s="35"/>
      <c r="B156" s="41"/>
      <c r="C156" s="42"/>
      <c r="D156" s="42"/>
      <c r="E156" s="42"/>
      <c r="F156" s="42"/>
      <c r="G156" s="42"/>
      <c r="H156" s="37"/>
      <c r="I156" s="37"/>
      <c r="J156" s="43">
        <f t="shared" si="13"/>
        <v>16493641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</row>
    <row r="157" spans="1:23">
      <c r="A157" s="35"/>
      <c r="B157" s="41"/>
      <c r="C157" s="42"/>
      <c r="D157" s="42"/>
      <c r="E157" s="42"/>
      <c r="F157" s="45"/>
      <c r="G157" s="42"/>
      <c r="H157" s="37"/>
      <c r="I157" s="37"/>
      <c r="J157" s="43">
        <f t="shared" si="13"/>
        <v>16493641</v>
      </c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</row>
    <row r="158" spans="1:23">
      <c r="A158" s="35"/>
      <c r="B158" s="41"/>
      <c r="C158" s="42"/>
      <c r="D158" s="42"/>
      <c r="E158" s="42"/>
      <c r="F158" s="42"/>
      <c r="G158" s="45"/>
      <c r="H158" s="37"/>
      <c r="I158" s="37"/>
      <c r="J158" s="43">
        <f t="shared" si="13"/>
        <v>16493641</v>
      </c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</row>
    <row r="159" spans="1:23">
      <c r="A159" s="35"/>
      <c r="B159" s="41"/>
      <c r="C159" s="42"/>
      <c r="D159" s="42"/>
      <c r="E159" s="42"/>
      <c r="F159" s="42"/>
      <c r="G159" s="45"/>
      <c r="H159" s="37"/>
      <c r="I159" s="37"/>
      <c r="J159" s="43">
        <f t="shared" si="13"/>
        <v>16493641</v>
      </c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</row>
    <row r="160" spans="1:23">
      <c r="A160" s="35"/>
      <c r="B160" s="41"/>
      <c r="C160" s="42"/>
      <c r="D160" s="42"/>
      <c r="E160" s="42"/>
      <c r="F160" s="42"/>
      <c r="G160" s="42"/>
      <c r="H160" s="37"/>
      <c r="I160" s="37"/>
      <c r="J160" s="43">
        <f t="shared" si="13"/>
        <v>16493641</v>
      </c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</row>
    <row r="161" spans="1:23">
      <c r="A161" s="35"/>
      <c r="B161" s="170"/>
      <c r="C161" s="171"/>
      <c r="D161" s="171"/>
      <c r="E161" s="171"/>
      <c r="F161" s="171"/>
      <c r="G161" s="171"/>
      <c r="H161" s="172"/>
      <c r="I161" s="172"/>
      <c r="J161" s="173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</row>
    <row r="162" spans="1:23">
      <c r="A162" s="35"/>
      <c r="B162" s="46" t="s">
        <v>134</v>
      </c>
      <c r="C162" s="42"/>
      <c r="D162" s="42"/>
      <c r="E162" s="42"/>
      <c r="F162" s="42" t="s">
        <v>171</v>
      </c>
      <c r="G162" s="42" t="s">
        <v>171</v>
      </c>
      <c r="H162" s="193">
        <f>+SUBVENCION!Y5+SUBVENCION!Z5</f>
        <v>0</v>
      </c>
      <c r="I162" s="193"/>
      <c r="J162" s="43">
        <f>+J160+H162-I162</f>
        <v>16493641</v>
      </c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</row>
    <row r="163" spans="1:23">
      <c r="A163" s="35"/>
      <c r="B163" s="41"/>
      <c r="C163" s="42"/>
      <c r="D163" s="42"/>
      <c r="E163" s="42"/>
      <c r="F163" s="42" t="s">
        <v>199</v>
      </c>
      <c r="G163" s="42" t="s">
        <v>199</v>
      </c>
      <c r="H163" s="127"/>
      <c r="I163" s="193"/>
      <c r="J163" s="43">
        <f t="shared" si="13"/>
        <v>16493641</v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</row>
    <row r="164" spans="1:23">
      <c r="A164" s="35"/>
      <c r="B164" s="41"/>
      <c r="C164" s="183"/>
      <c r="D164" s="42"/>
      <c r="E164" s="46"/>
      <c r="F164" s="42"/>
      <c r="G164" s="42"/>
      <c r="H164" s="46"/>
      <c r="I164" s="204"/>
      <c r="J164" s="43">
        <f t="shared" si="13"/>
        <v>16493641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</row>
    <row r="165" spans="1:23">
      <c r="A165" s="35"/>
      <c r="B165" s="170"/>
      <c r="C165" s="183"/>
      <c r="D165" s="42"/>
      <c r="E165" s="177"/>
      <c r="F165" s="42"/>
      <c r="G165" s="42"/>
      <c r="H165" s="46"/>
      <c r="I165" s="204"/>
      <c r="J165" s="43">
        <f t="shared" si="13"/>
        <v>16493641</v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</row>
    <row r="166" spans="1:23">
      <c r="A166" s="35"/>
      <c r="B166" s="170"/>
      <c r="C166" s="183"/>
      <c r="D166" s="42"/>
      <c r="E166" s="46"/>
      <c r="F166" s="42"/>
      <c r="G166" s="42"/>
      <c r="H166" s="46"/>
      <c r="I166" s="204"/>
      <c r="J166" s="43">
        <f t="shared" si="13"/>
        <v>16493641</v>
      </c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</row>
    <row r="167" spans="1:23">
      <c r="A167" s="35"/>
      <c r="B167" s="170"/>
      <c r="C167" s="183"/>
      <c r="D167" s="42"/>
      <c r="E167" s="46"/>
      <c r="F167" s="42"/>
      <c r="G167" s="42"/>
      <c r="H167" s="46"/>
      <c r="I167" s="204"/>
      <c r="J167" s="43">
        <f t="shared" si="13"/>
        <v>16493641</v>
      </c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</row>
    <row r="168" spans="1:23">
      <c r="A168" s="35"/>
      <c r="B168" s="170"/>
      <c r="C168" s="46"/>
      <c r="D168" s="42"/>
      <c r="E168" s="46"/>
      <c r="F168" s="42"/>
      <c r="G168" s="42"/>
      <c r="H168" s="46"/>
      <c r="I168" s="46"/>
      <c r="J168" s="43">
        <f>+J167+H168-I168</f>
        <v>16493641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</row>
    <row r="169" spans="1:23">
      <c r="A169" s="35"/>
      <c r="B169" s="167"/>
      <c r="C169" s="46"/>
      <c r="D169" s="46"/>
      <c r="E169" s="42"/>
      <c r="F169" s="42"/>
      <c r="G169" s="42"/>
      <c r="H169" s="37"/>
      <c r="I169" s="37"/>
      <c r="J169" s="43">
        <f t="shared" si="13"/>
        <v>16493641</v>
      </c>
      <c r="K169" s="35"/>
      <c r="L169" s="35" t="s">
        <v>134</v>
      </c>
      <c r="M169" s="97" t="s">
        <v>5</v>
      </c>
      <c r="N169" s="97" t="s">
        <v>214</v>
      </c>
      <c r="O169" s="97" t="s">
        <v>212</v>
      </c>
      <c r="P169" s="97" t="s">
        <v>213</v>
      </c>
      <c r="Q169" s="97" t="s">
        <v>7</v>
      </c>
      <c r="R169" s="35"/>
      <c r="S169" s="35"/>
      <c r="T169" s="35"/>
      <c r="U169" s="35"/>
      <c r="V169" s="35"/>
      <c r="W169" s="35"/>
    </row>
    <row r="170" spans="1:23">
      <c r="A170" s="35"/>
      <c r="B170" s="46"/>
      <c r="C170" s="42"/>
      <c r="D170" s="42"/>
      <c r="E170" s="42"/>
      <c r="F170" s="42"/>
      <c r="G170" s="42"/>
      <c r="H170" s="41"/>
      <c r="I170" s="64"/>
      <c r="J170" s="43">
        <f t="shared" si="13"/>
        <v>16493641</v>
      </c>
      <c r="K170" s="35"/>
      <c r="L170" s="35"/>
      <c r="M170" s="37">
        <f>+H169</f>
        <v>0</v>
      </c>
      <c r="N170" s="51">
        <f>+M170*10%</f>
        <v>0</v>
      </c>
      <c r="O170" s="51">
        <f>+I170</f>
        <v>0</v>
      </c>
      <c r="P170" s="51">
        <f>+I171+I172+I173+I174</f>
        <v>0</v>
      </c>
      <c r="Q170" s="303">
        <f>+M170-N170-O170-P170</f>
        <v>0</v>
      </c>
      <c r="R170" s="35"/>
      <c r="S170" s="35"/>
      <c r="T170" s="35"/>
      <c r="U170" s="35"/>
      <c r="V170" s="35"/>
      <c r="W170" s="35"/>
    </row>
    <row r="171" spans="1:23" s="87" customFormat="1">
      <c r="A171" s="85"/>
      <c r="B171" s="41"/>
      <c r="C171" s="262"/>
      <c r="D171" s="262"/>
      <c r="E171" s="311"/>
      <c r="F171" s="127"/>
      <c r="G171" s="127"/>
      <c r="H171" s="127"/>
      <c r="I171" s="193"/>
      <c r="J171" s="43">
        <f t="shared" si="13"/>
        <v>16493641</v>
      </c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</row>
    <row r="172" spans="1:23">
      <c r="A172" s="35"/>
      <c r="B172" s="41"/>
      <c r="C172" s="42"/>
      <c r="D172" s="42"/>
      <c r="E172" s="54"/>
      <c r="F172" s="42"/>
      <c r="G172" s="42"/>
      <c r="H172" s="41"/>
      <c r="I172" s="37"/>
      <c r="J172" s="43">
        <f>+J171+H172-I172</f>
        <v>16493641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</row>
    <row r="173" spans="1:23">
      <c r="A173" s="35"/>
      <c r="B173" s="41"/>
      <c r="C173" s="42"/>
      <c r="D173" s="42"/>
      <c r="E173" s="42"/>
      <c r="F173" s="42"/>
      <c r="G173" s="42"/>
      <c r="H173" s="37"/>
      <c r="I173" s="37"/>
      <c r="J173" s="43">
        <f t="shared" si="13"/>
        <v>16493641</v>
      </c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</row>
    <row r="174" spans="1:23">
      <c r="A174" s="35"/>
      <c r="B174" s="41"/>
      <c r="C174" s="42"/>
      <c r="D174" s="42"/>
      <c r="E174" s="42"/>
      <c r="F174" s="42"/>
      <c r="G174" s="45"/>
      <c r="H174" s="37"/>
      <c r="I174" s="37"/>
      <c r="J174" s="43">
        <f t="shared" si="13"/>
        <v>16493641</v>
      </c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</row>
    <row r="175" spans="1:23">
      <c r="A175" s="35"/>
      <c r="B175" s="41"/>
      <c r="C175" s="46"/>
      <c r="D175" s="46"/>
      <c r="E175" s="46"/>
      <c r="F175" s="46"/>
      <c r="G175" s="46"/>
      <c r="H175" s="46"/>
      <c r="I175" s="46"/>
      <c r="J175" s="43">
        <f>+J174+H175-I175</f>
        <v>16493641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</row>
    <row r="176" spans="1:23">
      <c r="A176" s="35"/>
      <c r="B176" s="46"/>
      <c r="C176" s="92"/>
      <c r="D176" s="92"/>
      <c r="E176" s="92"/>
      <c r="F176" s="42" t="s">
        <v>201</v>
      </c>
      <c r="G176" s="45" t="s">
        <v>135</v>
      </c>
      <c r="H176" s="62">
        <f>(H11+H22+H29+H49+H68+H83+H96+H108+H120+H134+H150+H169)*-10%</f>
        <v>-21690292.700000003</v>
      </c>
      <c r="I176" s="62"/>
      <c r="J176" s="43">
        <f t="shared" si="13"/>
        <v>-5196651.700000003</v>
      </c>
      <c r="K176" s="35"/>
      <c r="L176" s="44" t="s">
        <v>215</v>
      </c>
      <c r="M176" s="97" t="s">
        <v>5</v>
      </c>
      <c r="N176" s="97" t="s">
        <v>214</v>
      </c>
      <c r="O176" s="97" t="s">
        <v>212</v>
      </c>
      <c r="P176" s="97" t="s">
        <v>213</v>
      </c>
      <c r="Q176" s="97" t="s">
        <v>7</v>
      </c>
      <c r="R176" s="35"/>
      <c r="S176" s="35"/>
      <c r="T176" s="35"/>
      <c r="U176" s="35"/>
      <c r="V176" s="35"/>
      <c r="W176" s="35"/>
    </row>
    <row r="177" spans="1:23">
      <c r="A177" s="48"/>
      <c r="B177" s="91"/>
      <c r="C177" s="55" t="s">
        <v>8</v>
      </c>
      <c r="D177" s="55"/>
      <c r="E177" s="55"/>
      <c r="F177" s="55"/>
      <c r="G177" s="97" t="s">
        <v>9</v>
      </c>
      <c r="H177" s="63">
        <f>SUM(H9:H176)</f>
        <v>225437107.30000001</v>
      </c>
      <c r="I177" s="63">
        <f>SUM(I9:I176)</f>
        <v>230633759</v>
      </c>
      <c r="J177" s="63">
        <f>+H177-I177</f>
        <v>-5196651.6999999881</v>
      </c>
      <c r="K177" s="48"/>
      <c r="M177" s="37">
        <f>+H11+H22+H29+H49+H68+H83+H96+H108+H120+H134+H150+H169</f>
        <v>216902927</v>
      </c>
      <c r="N177" s="51">
        <f>+M177*10%</f>
        <v>21690292.700000003</v>
      </c>
      <c r="O177" s="51">
        <f>+I12+I23+I30+I50+I69+I84+I97+I109+I121+I135+I151+I170</f>
        <v>160536792</v>
      </c>
      <c r="P177" s="51">
        <f>+I13+I14+I15+I16+I17+I18+I19+I24+I31+I32+I33+I34+I35+I36+I37+I38+I39+I40+I41+I42+I51+I52+I53+I54+I55+I56+I57+I58+I59+I60+I61+I62+I63+I64+I65+I70+I71+I72+I73+I74+I75+I76+I77+I78+I85+I86+I87+I88+I89+I90+I91+I92+I93+I98+I99+I100+I101+I102+I103+I104+I105+I110+I111+I112+I113+I114+I115+I116+I117+I122+I123+I124+I125+I126+I127+I128+I129+I130</f>
        <v>70096967</v>
      </c>
      <c r="Q177" s="303">
        <f>+M177-N177-O177-P177</f>
        <v>-35421124.699999988</v>
      </c>
      <c r="R177" s="48"/>
      <c r="S177" s="48"/>
      <c r="T177" s="48"/>
      <c r="U177" s="48"/>
      <c r="V177" s="48"/>
      <c r="W177" s="48"/>
    </row>
    <row r="178" spans="1:23">
      <c r="B178" s="93" t="s">
        <v>8</v>
      </c>
    </row>
    <row r="180" spans="1:23">
      <c r="M180" s="154">
        <f t="shared" ref="M180:P180" si="14">+M12+M23+M30+M50+M69+M84+M97+M109+M121+M135+M151+M170</f>
        <v>216902927</v>
      </c>
      <c r="N180" s="154">
        <f t="shared" si="14"/>
        <v>21690292.699999999</v>
      </c>
      <c r="O180" s="154">
        <f t="shared" si="14"/>
        <v>160536792</v>
      </c>
      <c r="P180" s="154">
        <f t="shared" si="14"/>
        <v>70096967</v>
      </c>
      <c r="Q180" s="154">
        <f>+Q12+Q23+Q30+Q50+Q69+Q84+Q97+Q109+Q121+Q135+Q151+Q170</f>
        <v>-35421124.700000003</v>
      </c>
    </row>
    <row r="182" spans="1:23">
      <c r="H182" s="97" t="s">
        <v>5</v>
      </c>
      <c r="I182" s="97" t="s">
        <v>6</v>
      </c>
      <c r="J182" s="97" t="s">
        <v>198</v>
      </c>
      <c r="O182" s="181"/>
      <c r="P182" s="180"/>
    </row>
    <row r="183" spans="1:23">
      <c r="H183" s="144">
        <f>+H177</f>
        <v>225437107.30000001</v>
      </c>
      <c r="I183" s="43">
        <f>+I177</f>
        <v>230633759</v>
      </c>
      <c r="J183" s="143">
        <f>+I183*100/H183</f>
        <v>102.30514477507225</v>
      </c>
    </row>
  </sheetData>
  <autoFilter ref="B8:J148" xr:uid="{00000000-0009-0000-0000-000008000000}"/>
  <mergeCells count="16">
    <mergeCell ref="B133:J133"/>
    <mergeCell ref="B119:J119"/>
    <mergeCell ref="B107:J107"/>
    <mergeCell ref="B95:J95"/>
    <mergeCell ref="B2:J2"/>
    <mergeCell ref="B3:J3"/>
    <mergeCell ref="B4:J4"/>
    <mergeCell ref="B5:J5"/>
    <mergeCell ref="B6:J6"/>
    <mergeCell ref="B82:J82"/>
    <mergeCell ref="B67:J67"/>
    <mergeCell ref="B7:J7"/>
    <mergeCell ref="B10:J10"/>
    <mergeCell ref="B21:J21"/>
    <mergeCell ref="B28:J28"/>
    <mergeCell ref="B48:J48"/>
  </mergeCells>
  <conditionalFormatting sqref="H174">
    <cfRule type="cellIs" dxfId="141" priority="12" operator="lessThan">
      <formula>0</formula>
    </cfRule>
  </conditionalFormatting>
  <conditionalFormatting sqref="H117:I117">
    <cfRule type="cellIs" dxfId="140" priority="19" operator="lessThan">
      <formula>0</formula>
    </cfRule>
  </conditionalFormatting>
  <conditionalFormatting sqref="H134:I134">
    <cfRule type="cellIs" dxfId="139" priority="17" operator="lessThan">
      <formula>0</formula>
    </cfRule>
  </conditionalFormatting>
  <conditionalFormatting sqref="H156:I161">
    <cfRule type="cellIs" dxfId="138" priority="13" operator="lessThan">
      <formula>0</formula>
    </cfRule>
  </conditionalFormatting>
  <conditionalFormatting sqref="H173:I173">
    <cfRule type="cellIs" dxfId="137" priority="5" operator="lessThan">
      <formula>0</formula>
    </cfRule>
  </conditionalFormatting>
  <conditionalFormatting sqref="H108:J109 H110:I110 J110:J118">
    <cfRule type="cellIs" dxfId="136" priority="21" operator="lessThan">
      <formula>0</formula>
    </cfRule>
  </conditionalFormatting>
  <conditionalFormatting sqref="I32:I38 I40:I47 H49">
    <cfRule type="cellIs" dxfId="135" priority="10" operator="lessThan">
      <formula>0</formula>
    </cfRule>
  </conditionalFormatting>
  <conditionalFormatting sqref="I69">
    <cfRule type="cellIs" dxfId="134" priority="4" operator="lessThan">
      <formula>0</formula>
    </cfRule>
  </conditionalFormatting>
  <conditionalFormatting sqref="I71:I81">
    <cfRule type="cellIs" dxfId="133" priority="2" operator="lessThan">
      <formula>0</formula>
    </cfRule>
  </conditionalFormatting>
  <conditionalFormatting sqref="I170">
    <cfRule type="cellIs" dxfId="132" priority="7" operator="lessThan">
      <formula>0</formula>
    </cfRule>
  </conditionalFormatting>
  <conditionalFormatting sqref="I1:J9 I11:J14 J15:J20 B67 I68:J68 J69:J81 I83:J83 I111:I116 I118 I150:I155 I176 I177:J181 I184:J1048576">
    <cfRule type="cellIs" dxfId="131" priority="29" operator="lessThan">
      <formula>0</formula>
    </cfRule>
  </conditionalFormatting>
  <conditionalFormatting sqref="I22:J27">
    <cfRule type="cellIs" dxfId="130" priority="27" operator="lessThan">
      <formula>0</formula>
    </cfRule>
  </conditionalFormatting>
  <conditionalFormatting sqref="I49:J66 B82">
    <cfRule type="cellIs" dxfId="129" priority="23" operator="lessThan">
      <formula>0</formula>
    </cfRule>
  </conditionalFormatting>
  <conditionalFormatting sqref="I96:J106 H141:H148">
    <cfRule type="cellIs" dxfId="128" priority="8" operator="lessThan">
      <formula>0</formula>
    </cfRule>
  </conditionalFormatting>
  <conditionalFormatting sqref="J84:J94 I88:J90 I91:I93 B95 I120:J132 J134:J148 I135:I148 J150:J176">
    <cfRule type="cellIs" dxfId="127" priority="22" operator="lessThan">
      <formula>0</formula>
    </cfRule>
  </conditionalFormatting>
  <pageMargins left="1.1023622047244095" right="0.70866141732283472" top="0.35433070866141736" bottom="0.55118110236220474" header="0.31496062992125984" footer="0.31496062992125984"/>
  <pageSetup paperSize="14" scale="58" fitToHeight="0" orientation="portrait" r:id="rId1"/>
  <rowBreaks count="1" manualBreakCount="1">
    <brk id="177" max="9" man="1"/>
  </rowBreaks>
  <ignoredErrors>
    <ignoredError sqref="P121 P50" formulaRange="1"/>
    <ignoredError sqref="J7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P110"/>
  <sheetViews>
    <sheetView showGridLines="0" topLeftCell="A66" workbookViewId="0">
      <selection activeCell="O76" sqref="O76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1.42578125" style="44"/>
    <col min="6" max="6" width="25.7109375" style="44" bestFit="1" customWidth="1"/>
    <col min="7" max="7" width="25.5703125" style="44" bestFit="1" customWidth="1"/>
    <col min="8" max="8" width="11.42578125" style="44"/>
    <col min="9" max="9" width="11.42578125" style="39"/>
    <col min="10" max="16384" width="11.42578125" style="44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6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</row>
    <row r="3" spans="1:16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</row>
    <row r="4" spans="1:16">
      <c r="A4" s="35"/>
      <c r="B4" s="327" t="s">
        <v>92</v>
      </c>
      <c r="C4" s="328"/>
      <c r="D4" s="328"/>
      <c r="E4" s="328"/>
      <c r="F4" s="328"/>
      <c r="G4" s="328"/>
      <c r="H4" s="328"/>
      <c r="I4" s="328"/>
      <c r="J4" s="329"/>
    </row>
    <row r="5" spans="1:16">
      <c r="A5" s="35"/>
      <c r="B5" s="327" t="s">
        <v>93</v>
      </c>
      <c r="C5" s="328"/>
      <c r="D5" s="328"/>
      <c r="E5" s="328"/>
      <c r="F5" s="328"/>
      <c r="G5" s="328"/>
      <c r="H5" s="328"/>
      <c r="I5" s="328"/>
      <c r="J5" s="329"/>
    </row>
    <row r="6" spans="1:16">
      <c r="A6" s="35"/>
      <c r="B6" s="327" t="s">
        <v>74</v>
      </c>
      <c r="C6" s="328"/>
      <c r="D6" s="328"/>
      <c r="E6" s="328"/>
      <c r="F6" s="328"/>
      <c r="G6" s="328"/>
      <c r="H6" s="328"/>
      <c r="I6" s="328"/>
      <c r="J6" s="329"/>
    </row>
    <row r="7" spans="1:16">
      <c r="A7" s="35"/>
      <c r="B7" s="327" t="s">
        <v>91</v>
      </c>
      <c r="C7" s="328"/>
      <c r="D7" s="328"/>
      <c r="E7" s="328"/>
      <c r="F7" s="328"/>
      <c r="G7" s="328"/>
      <c r="H7" s="328"/>
      <c r="I7" s="328"/>
      <c r="J7" s="329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>
      <c r="A9" s="35"/>
      <c r="B9" s="47"/>
      <c r="C9" s="40"/>
      <c r="D9" s="40"/>
      <c r="E9" s="40"/>
      <c r="F9" s="40"/>
      <c r="G9" s="45" t="s">
        <v>236</v>
      </c>
      <c r="H9" s="37">
        <v>5512238</v>
      </c>
      <c r="I9" s="37"/>
      <c r="J9" s="300">
        <f>+H9-I9</f>
        <v>5512238</v>
      </c>
    </row>
    <row r="10" spans="1:16" s="49" customFormat="1">
      <c r="A10" s="48"/>
      <c r="B10" s="330" t="s">
        <v>90</v>
      </c>
      <c r="C10" s="331"/>
      <c r="D10" s="331"/>
      <c r="E10" s="331"/>
      <c r="F10" s="331"/>
      <c r="G10" s="331"/>
      <c r="H10" s="331"/>
      <c r="I10" s="331"/>
      <c r="J10" s="332"/>
    </row>
    <row r="11" spans="1:16">
      <c r="A11" s="35"/>
      <c r="B11" s="41"/>
      <c r="C11" s="42"/>
      <c r="D11" s="42"/>
      <c r="E11" s="42"/>
      <c r="F11" s="42" t="s">
        <v>171</v>
      </c>
      <c r="G11" s="42" t="s">
        <v>171</v>
      </c>
      <c r="H11" s="37">
        <f>SUBVENCION!C18+SUBVENCION!D18</f>
        <v>5498136</v>
      </c>
      <c r="I11" s="37"/>
      <c r="J11" s="300">
        <f>+H11-I11+J9</f>
        <v>11010374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</row>
    <row r="12" spans="1:16">
      <c r="A12" s="35"/>
      <c r="B12" s="41"/>
      <c r="C12" s="42"/>
      <c r="D12" s="42"/>
      <c r="E12" s="42"/>
      <c r="F12" s="42" t="s">
        <v>199</v>
      </c>
      <c r="G12" s="42" t="s">
        <v>199</v>
      </c>
      <c r="H12" s="37"/>
      <c r="I12" s="37">
        <v>3558445</v>
      </c>
      <c r="J12" s="300">
        <f>+J11+H12-I12</f>
        <v>7451929</v>
      </c>
      <c r="L12" s="115">
        <f>H11</f>
        <v>5498136</v>
      </c>
      <c r="M12" s="101">
        <f>L12*10%</f>
        <v>549813.6</v>
      </c>
      <c r="N12" s="115">
        <f>I12</f>
        <v>3558445</v>
      </c>
      <c r="O12" s="115">
        <f>I13+I14+I15+I16+I17</f>
        <v>1284578</v>
      </c>
      <c r="P12" s="303">
        <f>L12-M12-N12-O12</f>
        <v>105299.40000000037</v>
      </c>
    </row>
    <row r="13" spans="1:16">
      <c r="A13" s="35"/>
      <c r="B13" s="41">
        <v>45952</v>
      </c>
      <c r="C13" s="42">
        <v>137</v>
      </c>
      <c r="D13" s="42" t="s">
        <v>238</v>
      </c>
      <c r="E13" s="42">
        <v>14</v>
      </c>
      <c r="F13" s="42" t="s">
        <v>239</v>
      </c>
      <c r="G13" s="42" t="s">
        <v>240</v>
      </c>
      <c r="H13" s="37"/>
      <c r="I13" s="37">
        <v>1263676</v>
      </c>
      <c r="J13" s="300">
        <f t="shared" ref="J13:J17" si="0">+J12+H13-I13</f>
        <v>6188253</v>
      </c>
    </row>
    <row r="14" spans="1:16">
      <c r="A14" s="35"/>
      <c r="B14" s="41"/>
      <c r="C14" s="42"/>
      <c r="D14" s="42"/>
      <c r="E14" s="55">
        <v>12</v>
      </c>
      <c r="F14" s="55" t="s">
        <v>327</v>
      </c>
      <c r="G14" s="55" t="s">
        <v>327</v>
      </c>
      <c r="H14" s="226"/>
      <c r="I14" s="226">
        <v>20902</v>
      </c>
      <c r="J14" s="300">
        <f t="shared" si="0"/>
        <v>6167351</v>
      </c>
    </row>
    <row r="15" spans="1:16">
      <c r="A15" s="35"/>
      <c r="B15" s="41"/>
      <c r="C15" s="42"/>
      <c r="D15" s="42"/>
      <c r="E15" s="42"/>
      <c r="F15" s="42"/>
      <c r="G15" s="42"/>
      <c r="H15" s="37"/>
      <c r="I15" s="37"/>
      <c r="J15" s="300">
        <f t="shared" si="0"/>
        <v>6167351</v>
      </c>
    </row>
    <row r="16" spans="1:16">
      <c r="A16" s="35"/>
      <c r="B16" s="41"/>
      <c r="C16" s="42"/>
      <c r="D16" s="42"/>
      <c r="E16" s="42"/>
      <c r="F16" s="42"/>
      <c r="G16" s="42"/>
      <c r="H16" s="37"/>
      <c r="I16" s="37"/>
      <c r="J16" s="300">
        <f t="shared" si="0"/>
        <v>6167351</v>
      </c>
    </row>
    <row r="17" spans="1:16">
      <c r="A17" s="35"/>
      <c r="B17" s="41"/>
      <c r="C17" s="42"/>
      <c r="D17" s="42"/>
      <c r="E17" s="42"/>
      <c r="F17" s="42"/>
      <c r="G17" s="42"/>
      <c r="H17" s="37"/>
      <c r="I17" s="37"/>
      <c r="J17" s="300">
        <f t="shared" si="0"/>
        <v>6167351</v>
      </c>
    </row>
    <row r="18" spans="1:16" s="49" customFormat="1">
      <c r="A18" s="48"/>
      <c r="B18" s="330" t="s">
        <v>67</v>
      </c>
      <c r="C18" s="331"/>
      <c r="D18" s="331"/>
      <c r="E18" s="331"/>
      <c r="F18" s="331"/>
      <c r="G18" s="331"/>
      <c r="H18" s="331"/>
      <c r="I18" s="331"/>
      <c r="J18" s="332"/>
    </row>
    <row r="19" spans="1:16">
      <c r="A19" s="35"/>
      <c r="B19" s="41"/>
      <c r="C19" s="42"/>
      <c r="D19" s="42"/>
      <c r="E19" s="42"/>
      <c r="F19" s="42" t="s">
        <v>171</v>
      </c>
      <c r="G19" s="42" t="s">
        <v>171</v>
      </c>
      <c r="H19" s="37">
        <f>SUBVENCION!E18+SUBVENCION!F18</f>
        <v>5832393</v>
      </c>
      <c r="I19" s="37"/>
      <c r="J19" s="300">
        <f>+J17+H19-I19</f>
        <v>11999744</v>
      </c>
      <c r="L19" s="97" t="s">
        <v>5</v>
      </c>
      <c r="M19" s="97" t="s">
        <v>214</v>
      </c>
      <c r="N19" s="97" t="s">
        <v>212</v>
      </c>
      <c r="O19" s="97" t="s">
        <v>213</v>
      </c>
      <c r="P19" s="97" t="s">
        <v>7</v>
      </c>
    </row>
    <row r="20" spans="1:16">
      <c r="A20" s="35"/>
      <c r="B20" s="41"/>
      <c r="C20" s="42"/>
      <c r="D20" s="42"/>
      <c r="E20" s="42"/>
      <c r="F20" s="42" t="s">
        <v>199</v>
      </c>
      <c r="G20" s="42" t="s">
        <v>199</v>
      </c>
      <c r="H20" s="37"/>
      <c r="I20" s="37">
        <v>3558445</v>
      </c>
      <c r="J20" s="300">
        <f>+J19+H20-I20</f>
        <v>8441299</v>
      </c>
      <c r="L20" s="115">
        <f>H19</f>
        <v>5832393</v>
      </c>
      <c r="M20" s="101">
        <f>L20*10%</f>
        <v>583239.30000000005</v>
      </c>
      <c r="N20" s="115">
        <f>I20</f>
        <v>3558445</v>
      </c>
      <c r="O20" s="115">
        <f>I21</f>
        <v>20766</v>
      </c>
      <c r="P20" s="303">
        <f>L20-M20-N20-O20</f>
        <v>1669942.7000000002</v>
      </c>
    </row>
    <row r="21" spans="1:16">
      <c r="A21" s="35"/>
      <c r="B21" s="41"/>
      <c r="C21" s="42"/>
      <c r="D21" s="42"/>
      <c r="E21" s="55">
        <v>130</v>
      </c>
      <c r="F21" s="55" t="s">
        <v>327</v>
      </c>
      <c r="G21" s="55" t="s">
        <v>327</v>
      </c>
      <c r="H21" s="226"/>
      <c r="I21" s="226">
        <v>20766</v>
      </c>
      <c r="J21" s="300">
        <f>+J20+H21-I21</f>
        <v>8420533</v>
      </c>
    </row>
    <row r="22" spans="1:16" s="49" customFormat="1">
      <c r="A22" s="48"/>
      <c r="B22" s="330" t="s">
        <v>68</v>
      </c>
      <c r="C22" s="331"/>
      <c r="D22" s="331"/>
      <c r="E22" s="331"/>
      <c r="F22" s="331"/>
      <c r="G22" s="331"/>
      <c r="H22" s="331"/>
      <c r="I22" s="331"/>
      <c r="J22" s="332"/>
    </row>
    <row r="23" spans="1:16">
      <c r="A23" s="35"/>
      <c r="B23" s="41"/>
      <c r="C23" s="42"/>
      <c r="D23" s="42"/>
      <c r="E23" s="42"/>
      <c r="F23" s="42" t="s">
        <v>171</v>
      </c>
      <c r="G23" s="42" t="s">
        <v>171</v>
      </c>
      <c r="H23" s="37">
        <f>SUBVENCION!G18+SUBVENCION!H18</f>
        <v>5608104</v>
      </c>
      <c r="I23" s="37"/>
      <c r="J23" s="300">
        <f>+J21+H23-I23</f>
        <v>14028637</v>
      </c>
    </row>
    <row r="24" spans="1:16">
      <c r="A24" s="35"/>
      <c r="B24" s="41"/>
      <c r="C24" s="83"/>
      <c r="D24" s="42"/>
      <c r="E24" s="42"/>
      <c r="F24" s="42" t="s">
        <v>199</v>
      </c>
      <c r="G24" s="42" t="s">
        <v>199</v>
      </c>
      <c r="H24" s="37"/>
      <c r="I24" s="37">
        <v>3065789</v>
      </c>
      <c r="J24" s="300">
        <f>+J23+H24-I24</f>
        <v>10962848</v>
      </c>
      <c r="L24" s="97" t="s">
        <v>5</v>
      </c>
      <c r="M24" s="97" t="s">
        <v>214</v>
      </c>
      <c r="N24" s="97" t="s">
        <v>212</v>
      </c>
      <c r="O24" s="97" t="s">
        <v>213</v>
      </c>
      <c r="P24" s="97" t="s">
        <v>7</v>
      </c>
    </row>
    <row r="25" spans="1:16">
      <c r="A25" s="35"/>
      <c r="B25" s="41">
        <v>46090</v>
      </c>
      <c r="C25" s="42">
        <v>3</v>
      </c>
      <c r="D25" s="42">
        <v>69</v>
      </c>
      <c r="E25" s="42">
        <v>272</v>
      </c>
      <c r="F25" s="42" t="s">
        <v>267</v>
      </c>
      <c r="G25" s="42" t="s">
        <v>267</v>
      </c>
      <c r="H25" s="37"/>
      <c r="I25" s="37">
        <v>200000</v>
      </c>
      <c r="J25" s="300">
        <f t="shared" ref="J25:J33" si="1">+J24+H25-I25</f>
        <v>10762848</v>
      </c>
      <c r="L25" s="115">
        <f>H23</f>
        <v>5608104</v>
      </c>
      <c r="M25" s="101">
        <f>L25*10%</f>
        <v>560810.4</v>
      </c>
      <c r="N25" s="115">
        <f>I24</f>
        <v>3065789</v>
      </c>
      <c r="O25" s="115">
        <f>I25+I26+I27+I28+I29++I30+I31+I32+I33</f>
        <v>1607660</v>
      </c>
      <c r="P25" s="303">
        <f>L25-M25-N25-O25</f>
        <v>373844.59999999963</v>
      </c>
    </row>
    <row r="26" spans="1:16">
      <c r="A26" s="35"/>
      <c r="B26" s="41">
        <v>46097</v>
      </c>
      <c r="C26" s="42">
        <v>5</v>
      </c>
      <c r="D26" s="42">
        <v>120</v>
      </c>
      <c r="E26" s="42">
        <v>382</v>
      </c>
      <c r="F26" s="45" t="s">
        <v>272</v>
      </c>
      <c r="G26" s="45" t="s">
        <v>274</v>
      </c>
      <c r="H26" s="37"/>
      <c r="I26" s="37">
        <v>209651</v>
      </c>
      <c r="J26" s="300">
        <f t="shared" si="1"/>
        <v>10553197</v>
      </c>
    </row>
    <row r="27" spans="1:16">
      <c r="A27" s="35"/>
      <c r="B27" s="41"/>
      <c r="C27" s="42"/>
      <c r="D27" s="42"/>
      <c r="E27" s="55">
        <v>222</v>
      </c>
      <c r="F27" s="55" t="s">
        <v>327</v>
      </c>
      <c r="G27" s="55" t="s">
        <v>327</v>
      </c>
      <c r="H27" s="226"/>
      <c r="I27" s="226">
        <v>20766</v>
      </c>
      <c r="J27" s="300">
        <f t="shared" si="1"/>
        <v>10532431</v>
      </c>
    </row>
    <row r="28" spans="1:16">
      <c r="B28" s="41">
        <v>46098</v>
      </c>
      <c r="C28" s="42">
        <v>7</v>
      </c>
      <c r="D28" s="42">
        <v>138</v>
      </c>
      <c r="E28" s="42">
        <v>404</v>
      </c>
      <c r="F28" s="42" t="s">
        <v>267</v>
      </c>
      <c r="G28" s="45" t="s">
        <v>331</v>
      </c>
      <c r="H28" s="37"/>
      <c r="I28" s="37">
        <v>44000</v>
      </c>
      <c r="J28" s="300">
        <f t="shared" si="1"/>
        <v>10488431</v>
      </c>
      <c r="O28" s="104"/>
    </row>
    <row r="29" spans="1:16">
      <c r="B29" s="41">
        <v>46097</v>
      </c>
      <c r="C29" s="42">
        <v>6</v>
      </c>
      <c r="D29" s="42">
        <v>139</v>
      </c>
      <c r="E29" s="42">
        <v>425</v>
      </c>
      <c r="F29" s="42" t="s">
        <v>267</v>
      </c>
      <c r="G29" s="45" t="s">
        <v>332</v>
      </c>
      <c r="H29" s="37"/>
      <c r="I29" s="37">
        <v>209000</v>
      </c>
      <c r="J29" s="300">
        <f t="shared" si="1"/>
        <v>10279431</v>
      </c>
    </row>
    <row r="30" spans="1:16">
      <c r="B30" s="41" t="s">
        <v>339</v>
      </c>
      <c r="C30" s="42">
        <v>9</v>
      </c>
      <c r="D30" s="42" t="s">
        <v>413</v>
      </c>
      <c r="E30" s="42">
        <v>778</v>
      </c>
      <c r="F30" s="42" t="s">
        <v>340</v>
      </c>
      <c r="G30" s="42" t="s">
        <v>340</v>
      </c>
      <c r="H30" s="37"/>
      <c r="I30" s="37">
        <v>494624</v>
      </c>
      <c r="J30" s="300">
        <f t="shared" si="1"/>
        <v>9784807</v>
      </c>
    </row>
    <row r="31" spans="1:16">
      <c r="B31" s="41">
        <v>46104</v>
      </c>
      <c r="C31" s="42">
        <v>10</v>
      </c>
      <c r="D31" s="42">
        <v>155</v>
      </c>
      <c r="E31" s="42">
        <v>607</v>
      </c>
      <c r="F31" s="42" t="s">
        <v>267</v>
      </c>
      <c r="G31" s="45" t="s">
        <v>240</v>
      </c>
      <c r="H31" s="37"/>
      <c r="I31" s="37">
        <v>194780</v>
      </c>
      <c r="J31" s="300">
        <f t="shared" si="1"/>
        <v>9590027</v>
      </c>
    </row>
    <row r="32" spans="1:16">
      <c r="B32" s="41">
        <v>46106</v>
      </c>
      <c r="C32" s="42">
        <v>12</v>
      </c>
      <c r="D32" s="42">
        <v>171</v>
      </c>
      <c r="E32" s="42">
        <v>407</v>
      </c>
      <c r="F32" s="42" t="s">
        <v>278</v>
      </c>
      <c r="G32" s="45" t="s">
        <v>271</v>
      </c>
      <c r="H32" s="37"/>
      <c r="I32" s="37">
        <v>207840</v>
      </c>
      <c r="J32" s="300">
        <f t="shared" si="1"/>
        <v>9382187</v>
      </c>
    </row>
    <row r="33" spans="2:16">
      <c r="B33" s="41">
        <v>45741</v>
      </c>
      <c r="C33" s="42">
        <v>13</v>
      </c>
      <c r="D33" s="42">
        <v>175</v>
      </c>
      <c r="E33" s="42">
        <v>386</v>
      </c>
      <c r="F33" s="42" t="s">
        <v>353</v>
      </c>
      <c r="G33" s="42" t="s">
        <v>353</v>
      </c>
      <c r="H33" s="37"/>
      <c r="I33" s="37">
        <v>26999</v>
      </c>
      <c r="J33" s="300">
        <f t="shared" si="1"/>
        <v>9355188</v>
      </c>
    </row>
    <row r="34" spans="2:16" s="49" customFormat="1">
      <c r="B34" s="330" t="s">
        <v>69</v>
      </c>
      <c r="C34" s="331"/>
      <c r="D34" s="331"/>
      <c r="E34" s="331"/>
      <c r="F34" s="331"/>
      <c r="G34" s="331"/>
      <c r="H34" s="331"/>
      <c r="I34" s="331"/>
      <c r="J34" s="332"/>
    </row>
    <row r="35" spans="2:16">
      <c r="B35" s="41"/>
      <c r="C35" s="42"/>
      <c r="D35" s="42"/>
      <c r="E35" s="42"/>
      <c r="F35" s="42" t="s">
        <v>171</v>
      </c>
      <c r="G35" s="42" t="s">
        <v>171</v>
      </c>
      <c r="H35" s="37">
        <f>SUBVENCION!I18+SUBVENCION!J18</f>
        <v>5678407</v>
      </c>
      <c r="I35" s="37"/>
      <c r="J35" s="300">
        <f>+J33+H35-I35</f>
        <v>15033595</v>
      </c>
    </row>
    <row r="36" spans="2:16">
      <c r="B36" s="41"/>
      <c r="C36" s="42"/>
      <c r="D36" s="42"/>
      <c r="E36" s="42"/>
      <c r="F36" s="42" t="s">
        <v>199</v>
      </c>
      <c r="G36" s="42" t="s">
        <v>199</v>
      </c>
      <c r="H36" s="37"/>
      <c r="I36" s="37">
        <v>2902406</v>
      </c>
      <c r="J36" s="300">
        <f>+J35+H36-I36</f>
        <v>12131189</v>
      </c>
      <c r="L36" s="97" t="s">
        <v>5</v>
      </c>
      <c r="M36" s="97" t="s">
        <v>214</v>
      </c>
      <c r="N36" s="97" t="s">
        <v>212</v>
      </c>
      <c r="O36" s="97" t="s">
        <v>213</v>
      </c>
      <c r="P36" s="97" t="s">
        <v>7</v>
      </c>
    </row>
    <row r="37" spans="2:16">
      <c r="B37" s="41"/>
      <c r="C37" s="42"/>
      <c r="D37" s="42"/>
      <c r="E37" s="55">
        <v>350</v>
      </c>
      <c r="F37" s="55" t="s">
        <v>327</v>
      </c>
      <c r="G37" s="55" t="s">
        <v>327</v>
      </c>
      <c r="H37" s="226"/>
      <c r="I37" s="226">
        <v>20968</v>
      </c>
      <c r="J37" s="300">
        <f t="shared" ref="J37:J46" si="2">+J36+H37-I37</f>
        <v>12110221</v>
      </c>
      <c r="L37" s="115">
        <f>H35</f>
        <v>5678407</v>
      </c>
      <c r="M37" s="101">
        <f>L37*10%</f>
        <v>567840.70000000007</v>
      </c>
      <c r="N37" s="115">
        <f>I36</f>
        <v>2902406</v>
      </c>
      <c r="O37" s="115">
        <f>I37+I38+I39+I40+I41+I42+I43+I44+I45+I46</f>
        <v>1791909</v>
      </c>
      <c r="P37" s="303">
        <f>L37-M37-N37-O37</f>
        <v>416251.29999999981</v>
      </c>
    </row>
    <row r="38" spans="2:16">
      <c r="B38" s="41">
        <v>46114</v>
      </c>
      <c r="C38" s="42">
        <v>15</v>
      </c>
      <c r="D38" s="42">
        <v>218</v>
      </c>
      <c r="E38" s="42">
        <v>408</v>
      </c>
      <c r="F38" s="42" t="s">
        <v>358</v>
      </c>
      <c r="G38" s="42" t="s">
        <v>358</v>
      </c>
      <c r="H38" s="37"/>
      <c r="I38" s="37">
        <v>194999</v>
      </c>
      <c r="J38" s="300">
        <f t="shared" si="2"/>
        <v>11915222</v>
      </c>
    </row>
    <row r="39" spans="2:16">
      <c r="B39" s="41">
        <v>46126</v>
      </c>
      <c r="C39" s="42">
        <v>22</v>
      </c>
      <c r="D39" s="42" t="s">
        <v>418</v>
      </c>
      <c r="E39" s="42">
        <v>777</v>
      </c>
      <c r="F39" s="42" t="s">
        <v>242</v>
      </c>
      <c r="G39" s="42" t="s">
        <v>242</v>
      </c>
      <c r="H39" s="37"/>
      <c r="I39" s="37">
        <v>390737</v>
      </c>
      <c r="J39" s="300">
        <f t="shared" si="2"/>
        <v>11524485</v>
      </c>
    </row>
    <row r="40" spans="2:16">
      <c r="B40" s="41">
        <v>46126</v>
      </c>
      <c r="C40" s="42">
        <v>21</v>
      </c>
      <c r="D40" s="42" t="s">
        <v>464</v>
      </c>
      <c r="E40" s="42">
        <v>961</v>
      </c>
      <c r="F40" s="42" t="s">
        <v>392</v>
      </c>
      <c r="G40" s="45" t="s">
        <v>393</v>
      </c>
      <c r="H40" s="37"/>
      <c r="I40" s="37">
        <v>380800</v>
      </c>
      <c r="J40" s="300">
        <f t="shared" si="2"/>
        <v>11143685</v>
      </c>
    </row>
    <row r="41" spans="2:16">
      <c r="B41" s="41">
        <v>46126</v>
      </c>
      <c r="C41" s="42">
        <v>20</v>
      </c>
      <c r="D41" s="42">
        <v>290</v>
      </c>
      <c r="E41" s="42">
        <v>601</v>
      </c>
      <c r="F41" s="42" t="s">
        <v>394</v>
      </c>
      <c r="G41" s="45" t="s">
        <v>219</v>
      </c>
      <c r="H41" s="37"/>
      <c r="I41" s="37">
        <v>207000</v>
      </c>
      <c r="J41" s="300">
        <f t="shared" si="2"/>
        <v>10936685</v>
      </c>
    </row>
    <row r="42" spans="2:16">
      <c r="B42" s="41">
        <v>46126</v>
      </c>
      <c r="C42" s="42">
        <v>19</v>
      </c>
      <c r="D42" s="42">
        <v>289</v>
      </c>
      <c r="E42" s="42">
        <v>600</v>
      </c>
      <c r="F42" s="42" t="s">
        <v>242</v>
      </c>
      <c r="G42" s="42" t="s">
        <v>242</v>
      </c>
      <c r="H42" s="37"/>
      <c r="I42" s="37">
        <v>208964</v>
      </c>
      <c r="J42" s="300">
        <f t="shared" si="2"/>
        <v>10727721</v>
      </c>
    </row>
    <row r="43" spans="2:16">
      <c r="B43" s="41">
        <v>46126</v>
      </c>
      <c r="C43" s="42">
        <v>18</v>
      </c>
      <c r="D43" s="42">
        <v>288</v>
      </c>
      <c r="E43" s="42">
        <v>602</v>
      </c>
      <c r="F43" s="42" t="s">
        <v>278</v>
      </c>
      <c r="G43" s="42" t="s">
        <v>278</v>
      </c>
      <c r="H43" s="37"/>
      <c r="I43" s="37">
        <v>181840</v>
      </c>
      <c r="J43" s="300">
        <f t="shared" si="2"/>
        <v>10545881</v>
      </c>
    </row>
    <row r="44" spans="2:16">
      <c r="B44" s="41">
        <v>46126</v>
      </c>
      <c r="C44" s="42">
        <v>17</v>
      </c>
      <c r="D44" s="42">
        <v>287</v>
      </c>
      <c r="E44" s="42">
        <v>576</v>
      </c>
      <c r="F44" s="42" t="s">
        <v>272</v>
      </c>
      <c r="G44" s="42" t="s">
        <v>240</v>
      </c>
      <c r="H44" s="37"/>
      <c r="I44" s="37">
        <v>206601</v>
      </c>
      <c r="J44" s="300">
        <f t="shared" si="2"/>
        <v>10339280</v>
      </c>
    </row>
    <row r="45" spans="2:16">
      <c r="B45" s="41">
        <v>46141</v>
      </c>
      <c r="C45" s="42">
        <v>25</v>
      </c>
      <c r="D45" s="42" t="s">
        <v>367</v>
      </c>
      <c r="E45" s="42" t="s">
        <v>367</v>
      </c>
      <c r="F45" s="42" t="s">
        <v>428</v>
      </c>
      <c r="G45" s="42" t="s">
        <v>428</v>
      </c>
      <c r="H45" s="37"/>
      <c r="I45" s="37">
        <v>0</v>
      </c>
      <c r="J45" s="300">
        <f t="shared" si="2"/>
        <v>10339280</v>
      </c>
    </row>
    <row r="46" spans="2:16">
      <c r="B46" s="41">
        <v>46140</v>
      </c>
      <c r="C46" s="42">
        <v>24</v>
      </c>
      <c r="D46" s="42">
        <v>387</v>
      </c>
      <c r="E46" s="42" t="s">
        <v>367</v>
      </c>
      <c r="F46" s="42"/>
      <c r="G46" s="42"/>
      <c r="H46" s="37"/>
      <c r="I46" s="37">
        <v>0</v>
      </c>
      <c r="J46" s="300">
        <f t="shared" si="2"/>
        <v>10339280</v>
      </c>
    </row>
    <row r="47" spans="2:16">
      <c r="B47" s="371" t="s">
        <v>120</v>
      </c>
      <c r="C47" s="372"/>
      <c r="D47" s="372"/>
      <c r="E47" s="372"/>
      <c r="F47" s="372"/>
      <c r="G47" s="372"/>
      <c r="H47" s="372"/>
      <c r="I47" s="372"/>
      <c r="J47" s="373"/>
    </row>
    <row r="48" spans="2:16">
      <c r="B48" s="41"/>
      <c r="C48" s="42"/>
      <c r="D48" s="42"/>
      <c r="E48" s="42"/>
      <c r="F48" s="42" t="s">
        <v>171</v>
      </c>
      <c r="G48" s="42" t="s">
        <v>171</v>
      </c>
      <c r="H48" s="37">
        <f>SUBVENCION!K18+SUBVENCION!L18</f>
        <v>5636204</v>
      </c>
      <c r="I48" s="37"/>
      <c r="J48" s="300">
        <f>+J46+H48-I48</f>
        <v>15975484</v>
      </c>
    </row>
    <row r="49" spans="1:16">
      <c r="B49" s="41"/>
      <c r="C49" s="42"/>
      <c r="D49" s="42"/>
      <c r="E49" s="42"/>
      <c r="F49" s="42" t="s">
        <v>199</v>
      </c>
      <c r="G49" s="42" t="s">
        <v>199</v>
      </c>
      <c r="H49" s="37"/>
      <c r="I49" s="37">
        <v>2884277</v>
      </c>
      <c r="J49" s="300">
        <f>+J48+H49-I49</f>
        <v>13091207</v>
      </c>
      <c r="L49" s="97" t="s">
        <v>5</v>
      </c>
      <c r="M49" s="97" t="s">
        <v>214</v>
      </c>
      <c r="N49" s="97" t="s">
        <v>212</v>
      </c>
      <c r="O49" s="97" t="s">
        <v>213</v>
      </c>
      <c r="P49" s="97" t="s">
        <v>7</v>
      </c>
    </row>
    <row r="50" spans="1:16">
      <c r="B50" s="41">
        <v>46148</v>
      </c>
      <c r="C50" s="42">
        <v>26</v>
      </c>
      <c r="D50" s="42">
        <v>391</v>
      </c>
      <c r="E50" s="42">
        <v>747</v>
      </c>
      <c r="F50" s="42" t="s">
        <v>242</v>
      </c>
      <c r="G50" s="42" t="s">
        <v>242</v>
      </c>
      <c r="H50" s="37"/>
      <c r="I50" s="37">
        <v>209000</v>
      </c>
      <c r="J50" s="300">
        <f t="shared" ref="J50:J55" si="3">+J49+H50-I50</f>
        <v>12882207</v>
      </c>
      <c r="L50" s="115">
        <f>H48</f>
        <v>5636204</v>
      </c>
      <c r="M50" s="101">
        <f>L50*10%</f>
        <v>563620.4</v>
      </c>
      <c r="N50" s="115">
        <f>I49</f>
        <v>2884277</v>
      </c>
      <c r="O50" s="115">
        <f>I50+I51+I52+I53+I54+I55</f>
        <v>23729557</v>
      </c>
      <c r="P50" s="303">
        <f>L50-M50-N50-O50</f>
        <v>-21541250.399999999</v>
      </c>
    </row>
    <row r="51" spans="1:16">
      <c r="B51" s="41">
        <v>46148</v>
      </c>
      <c r="C51" s="42">
        <v>27</v>
      </c>
      <c r="D51" s="42">
        <v>392</v>
      </c>
      <c r="E51" s="42">
        <v>1418</v>
      </c>
      <c r="F51" s="42" t="s">
        <v>438</v>
      </c>
      <c r="G51" s="42" t="s">
        <v>438</v>
      </c>
      <c r="H51" s="37"/>
      <c r="I51" s="37">
        <v>208250</v>
      </c>
      <c r="J51" s="300">
        <f t="shared" si="3"/>
        <v>12673957</v>
      </c>
    </row>
    <row r="52" spans="1:16">
      <c r="B52" s="41">
        <v>46149</v>
      </c>
      <c r="C52" s="42">
        <v>28</v>
      </c>
      <c r="D52" s="42">
        <v>415</v>
      </c>
      <c r="E52" s="42">
        <v>827</v>
      </c>
      <c r="F52" s="42" t="s">
        <v>353</v>
      </c>
      <c r="G52" s="42" t="s">
        <v>353</v>
      </c>
      <c r="H52" s="37"/>
      <c r="I52" s="37">
        <v>208845</v>
      </c>
      <c r="J52" s="300">
        <f t="shared" si="3"/>
        <v>12465112</v>
      </c>
    </row>
    <row r="53" spans="1:16">
      <c r="A53" s="44" t="s">
        <v>223</v>
      </c>
      <c r="B53" s="41">
        <v>46150</v>
      </c>
      <c r="C53" s="42">
        <v>29</v>
      </c>
      <c r="D53" s="42" t="s">
        <v>587</v>
      </c>
      <c r="E53" s="79"/>
      <c r="F53" s="42" t="s">
        <v>428</v>
      </c>
      <c r="G53" s="42" t="s">
        <v>428</v>
      </c>
      <c r="H53" s="37"/>
      <c r="I53" s="37">
        <v>22909404</v>
      </c>
      <c r="J53" s="300">
        <f t="shared" si="3"/>
        <v>-10444292</v>
      </c>
    </row>
    <row r="54" spans="1:16">
      <c r="B54" s="41">
        <v>46167</v>
      </c>
      <c r="C54" s="42">
        <v>32</v>
      </c>
      <c r="D54" s="42">
        <v>478</v>
      </c>
      <c r="E54" s="42">
        <v>726</v>
      </c>
      <c r="F54" s="42" t="s">
        <v>396</v>
      </c>
      <c r="G54" s="45" t="s">
        <v>462</v>
      </c>
      <c r="H54" s="37"/>
      <c r="I54" s="37">
        <v>172890</v>
      </c>
      <c r="J54" s="300">
        <f t="shared" si="3"/>
        <v>-10617182</v>
      </c>
    </row>
    <row r="55" spans="1:16">
      <c r="B55" s="41"/>
      <c r="C55" s="42"/>
      <c r="D55" s="42"/>
      <c r="E55" s="42">
        <v>563</v>
      </c>
      <c r="F55" s="55" t="s">
        <v>327</v>
      </c>
      <c r="G55" s="55" t="s">
        <v>327</v>
      </c>
      <c r="H55" s="37"/>
      <c r="I55" s="37">
        <v>21168</v>
      </c>
      <c r="J55" s="300">
        <f t="shared" si="3"/>
        <v>-10638350</v>
      </c>
    </row>
    <row r="56" spans="1:16">
      <c r="B56" s="371" t="s">
        <v>129</v>
      </c>
      <c r="C56" s="372"/>
      <c r="D56" s="372"/>
      <c r="E56" s="372"/>
      <c r="F56" s="372"/>
      <c r="G56" s="372"/>
      <c r="H56" s="372"/>
      <c r="I56" s="372"/>
      <c r="J56" s="373"/>
    </row>
    <row r="57" spans="1:16">
      <c r="B57" s="41"/>
      <c r="C57" s="42"/>
      <c r="D57" s="42"/>
      <c r="E57" s="42"/>
      <c r="F57" s="42" t="s">
        <v>171</v>
      </c>
      <c r="G57" s="42" t="s">
        <v>171</v>
      </c>
      <c r="H57" s="37">
        <f>SUBVENCION!M18+SUBVENCION!N18</f>
        <v>5340174</v>
      </c>
      <c r="I57" s="37"/>
      <c r="J57" s="300">
        <f>+J55+H57-I57</f>
        <v>-5298176</v>
      </c>
      <c r="L57" s="97" t="s">
        <v>5</v>
      </c>
      <c r="M57" s="97" t="s">
        <v>214</v>
      </c>
      <c r="N57" s="97" t="s">
        <v>212</v>
      </c>
      <c r="O57" s="97" t="s">
        <v>213</v>
      </c>
      <c r="P57" s="97" t="s">
        <v>7</v>
      </c>
    </row>
    <row r="58" spans="1:16">
      <c r="B58" s="41"/>
      <c r="C58" s="42"/>
      <c r="D58" s="42"/>
      <c r="E58" s="42"/>
      <c r="F58" s="42" t="s">
        <v>199</v>
      </c>
      <c r="G58" s="42" t="s">
        <v>199</v>
      </c>
      <c r="H58" s="37"/>
      <c r="I58" s="37">
        <v>2960791</v>
      </c>
      <c r="J58" s="300">
        <f>+J57+H58-I58</f>
        <v>-8258967</v>
      </c>
      <c r="L58" s="115">
        <f>H57</f>
        <v>5340174</v>
      </c>
      <c r="M58" s="101">
        <f>L58*10%</f>
        <v>534017.4</v>
      </c>
      <c r="N58" s="115">
        <f>I58</f>
        <v>2960791</v>
      </c>
      <c r="O58" s="115">
        <f>I59+I60+I61+I62</f>
        <v>21212</v>
      </c>
      <c r="P58" s="303">
        <f>L58-M58-N58-O58</f>
        <v>1824153.5999999996</v>
      </c>
    </row>
    <row r="59" spans="1:16">
      <c r="B59" s="41"/>
      <c r="C59" s="42"/>
      <c r="D59" s="42"/>
      <c r="E59" s="42">
        <v>734</v>
      </c>
      <c r="F59" s="55" t="s">
        <v>327</v>
      </c>
      <c r="G59" s="55" t="s">
        <v>327</v>
      </c>
      <c r="H59" s="37"/>
      <c r="I59" s="37">
        <v>21212</v>
      </c>
      <c r="J59" s="300">
        <f t="shared" ref="J59:J62" si="4">+J58+H59-I59</f>
        <v>-8280179</v>
      </c>
    </row>
    <row r="60" spans="1:16">
      <c r="B60" s="41"/>
      <c r="C60" s="42"/>
      <c r="D60" s="42"/>
      <c r="E60" s="42"/>
      <c r="F60" s="42"/>
      <c r="G60" s="45"/>
      <c r="H60" s="37"/>
      <c r="I60" s="37"/>
      <c r="J60" s="300">
        <f t="shared" si="4"/>
        <v>-8280179</v>
      </c>
    </row>
    <row r="61" spans="1:16">
      <c r="B61" s="41"/>
      <c r="C61" s="42"/>
      <c r="D61" s="42"/>
      <c r="E61" s="42"/>
      <c r="F61" s="42"/>
      <c r="G61" s="45"/>
      <c r="H61" s="37"/>
      <c r="I61" s="37"/>
      <c r="J61" s="300">
        <f t="shared" si="4"/>
        <v>-8280179</v>
      </c>
    </row>
    <row r="62" spans="1:16">
      <c r="B62" s="41"/>
      <c r="C62" s="42"/>
      <c r="D62" s="42"/>
      <c r="E62" s="42"/>
      <c r="F62" s="42"/>
      <c r="G62" s="45"/>
      <c r="H62" s="37"/>
      <c r="I62" s="37"/>
      <c r="J62" s="300">
        <f t="shared" si="4"/>
        <v>-8280179</v>
      </c>
    </row>
    <row r="63" spans="1:16">
      <c r="B63" s="371" t="s">
        <v>65</v>
      </c>
      <c r="C63" s="372"/>
      <c r="D63" s="372"/>
      <c r="E63" s="372"/>
      <c r="F63" s="372"/>
      <c r="G63" s="372"/>
      <c r="H63" s="372"/>
      <c r="I63" s="372"/>
      <c r="J63" s="373"/>
    </row>
    <row r="64" spans="1:16">
      <c r="B64" s="41"/>
      <c r="C64" s="42"/>
      <c r="D64" s="42"/>
      <c r="E64" s="42"/>
      <c r="F64" s="42" t="s">
        <v>171</v>
      </c>
      <c r="G64" s="42" t="s">
        <v>171</v>
      </c>
      <c r="H64" s="37">
        <f>+SUBVENCION!O18+SUBVENCION!P18</f>
        <v>5485314</v>
      </c>
      <c r="I64" s="37"/>
      <c r="J64" s="300">
        <f>+J62+H64-I64</f>
        <v>-2794865</v>
      </c>
      <c r="L64" s="97" t="s">
        <v>5</v>
      </c>
      <c r="M64" s="97" t="s">
        <v>214</v>
      </c>
      <c r="N64" s="97" t="s">
        <v>212</v>
      </c>
      <c r="O64" s="97" t="s">
        <v>213</v>
      </c>
      <c r="P64" s="97" t="s">
        <v>7</v>
      </c>
    </row>
    <row r="65" spans="1:16">
      <c r="B65" s="41"/>
      <c r="C65" s="42"/>
      <c r="D65" s="42"/>
      <c r="E65" s="42"/>
      <c r="F65" s="42" t="s">
        <v>199</v>
      </c>
      <c r="G65" s="42" t="s">
        <v>221</v>
      </c>
      <c r="H65" s="37"/>
      <c r="I65" s="37">
        <v>2892589</v>
      </c>
      <c r="J65" s="300">
        <f>+J64+H65-I65</f>
        <v>-5687454</v>
      </c>
      <c r="L65" s="115">
        <f>H64</f>
        <v>5485314</v>
      </c>
      <c r="M65" s="101">
        <f>L65*10%</f>
        <v>548531.4</v>
      </c>
      <c r="N65" s="115">
        <f>I65</f>
        <v>2892589</v>
      </c>
      <c r="O65" s="115">
        <f>I66+I67</f>
        <v>21012</v>
      </c>
      <c r="P65" s="303">
        <f>L65-M65-N65-O65</f>
        <v>2023181.5999999996</v>
      </c>
    </row>
    <row r="66" spans="1:16">
      <c r="B66" s="41"/>
      <c r="C66" s="42"/>
      <c r="D66" s="42"/>
      <c r="E66" s="42">
        <v>944</v>
      </c>
      <c r="F66" s="55" t="s">
        <v>327</v>
      </c>
      <c r="G66" s="55" t="s">
        <v>327</v>
      </c>
      <c r="H66" s="37"/>
      <c r="I66" s="37">
        <v>21012</v>
      </c>
      <c r="J66" s="300">
        <f t="shared" ref="J66:J67" si="5">+J65+H66-I66</f>
        <v>-5708466</v>
      </c>
    </row>
    <row r="67" spans="1:16">
      <c r="B67" s="41"/>
      <c r="C67" s="42"/>
      <c r="D67" s="42"/>
      <c r="E67" s="42"/>
      <c r="F67" s="42"/>
      <c r="G67" s="45"/>
      <c r="H67" s="37"/>
      <c r="I67" s="37"/>
      <c r="J67" s="300">
        <f t="shared" si="5"/>
        <v>-5708466</v>
      </c>
    </row>
    <row r="68" spans="1:16">
      <c r="B68" s="320" t="s">
        <v>130</v>
      </c>
      <c r="C68" s="321"/>
      <c r="D68" s="321"/>
      <c r="E68" s="321"/>
      <c r="F68" s="321"/>
      <c r="G68" s="321"/>
      <c r="H68" s="321"/>
      <c r="I68" s="321"/>
      <c r="J68" s="322"/>
    </row>
    <row r="69" spans="1:16">
      <c r="B69" s="41"/>
      <c r="C69" s="42"/>
      <c r="D69" s="42"/>
      <c r="E69" s="42"/>
      <c r="F69" s="42" t="s">
        <v>171</v>
      </c>
      <c r="G69" s="42" t="s">
        <v>171</v>
      </c>
      <c r="H69" s="37">
        <f>SUBVENCION!Q18+SUBVENCION!R18</f>
        <v>5312763</v>
      </c>
      <c r="I69" s="37"/>
      <c r="J69" s="300">
        <f>+J67+H69-I69</f>
        <v>-395703</v>
      </c>
    </row>
    <row r="70" spans="1:16">
      <c r="B70" s="41"/>
      <c r="C70" s="42"/>
      <c r="D70" s="42"/>
      <c r="E70" s="42"/>
      <c r="F70" s="42" t="s">
        <v>199</v>
      </c>
      <c r="G70" s="42" t="s">
        <v>199</v>
      </c>
      <c r="H70" s="37"/>
      <c r="I70" s="37">
        <v>2899727</v>
      </c>
      <c r="J70" s="300">
        <f>+J69+H70-I70</f>
        <v>-3295430</v>
      </c>
      <c r="L70" s="97" t="s">
        <v>5</v>
      </c>
      <c r="M70" s="97" t="s">
        <v>214</v>
      </c>
      <c r="N70" s="97" t="s">
        <v>212</v>
      </c>
      <c r="O70" s="97" t="s">
        <v>213</v>
      </c>
      <c r="P70" s="97" t="s">
        <v>7</v>
      </c>
    </row>
    <row r="71" spans="1:16">
      <c r="B71" s="41"/>
      <c r="C71" s="151"/>
      <c r="D71" s="151"/>
      <c r="E71" s="42">
        <v>1178</v>
      </c>
      <c r="F71" s="55" t="s">
        <v>327</v>
      </c>
      <c r="G71" s="55" t="s">
        <v>327</v>
      </c>
      <c r="H71" s="37"/>
      <c r="I71" s="37">
        <v>21358</v>
      </c>
      <c r="J71" s="300">
        <f t="shared" ref="J71:J72" si="6">+J70+H71-I71</f>
        <v>-3316788</v>
      </c>
      <c r="L71" s="115">
        <f>H69</f>
        <v>5312763</v>
      </c>
      <c r="M71" s="101">
        <f>L71*10%</f>
        <v>531276.30000000005</v>
      </c>
      <c r="N71" s="115">
        <f>I70</f>
        <v>2899727</v>
      </c>
      <c r="O71" s="115">
        <f>I71+I72</f>
        <v>21358</v>
      </c>
      <c r="P71" s="303">
        <f>L71-M71-N71-O71</f>
        <v>1860401.7000000002</v>
      </c>
    </row>
    <row r="72" spans="1:16">
      <c r="B72" s="41"/>
      <c r="C72" s="42"/>
      <c r="D72" s="42"/>
      <c r="E72" s="42"/>
      <c r="F72" s="42"/>
      <c r="G72" s="45"/>
      <c r="H72" s="37"/>
      <c r="I72" s="37"/>
      <c r="J72" s="300">
        <f t="shared" si="6"/>
        <v>-3316788</v>
      </c>
    </row>
    <row r="73" spans="1:16">
      <c r="B73" s="320" t="s">
        <v>131</v>
      </c>
      <c r="C73" s="321"/>
      <c r="D73" s="321"/>
      <c r="E73" s="321"/>
      <c r="F73" s="321"/>
      <c r="G73" s="321"/>
      <c r="H73" s="321"/>
      <c r="I73" s="321"/>
      <c r="J73" s="322"/>
    </row>
    <row r="74" spans="1:16">
      <c r="B74" s="41"/>
      <c r="C74" s="42"/>
      <c r="D74" s="42"/>
      <c r="E74" s="42"/>
      <c r="F74" s="42" t="s">
        <v>171</v>
      </c>
      <c r="G74" s="42" t="s">
        <v>171</v>
      </c>
      <c r="H74" s="37">
        <f>SUBVENCION!S18+SUBVENCION!T18</f>
        <v>5161923</v>
      </c>
      <c r="I74" s="37"/>
      <c r="J74" s="300">
        <f>+J72+H74-I74</f>
        <v>1845135</v>
      </c>
      <c r="L74" s="97" t="s">
        <v>5</v>
      </c>
      <c r="M74" s="97" t="s">
        <v>214</v>
      </c>
      <c r="N74" s="97" t="s">
        <v>212</v>
      </c>
      <c r="O74" s="97" t="s">
        <v>213</v>
      </c>
      <c r="P74" s="97" t="s">
        <v>7</v>
      </c>
    </row>
    <row r="75" spans="1:16">
      <c r="B75" s="41"/>
      <c r="C75" s="42"/>
      <c r="D75" s="42"/>
      <c r="E75" s="42"/>
      <c r="F75" s="42" t="s">
        <v>199</v>
      </c>
      <c r="G75" s="42" t="s">
        <v>199</v>
      </c>
      <c r="H75" s="37"/>
      <c r="I75" s="37">
        <v>2900234</v>
      </c>
      <c r="J75" s="300">
        <f t="shared" ref="J75:J94" si="7">+J74+H75-I75</f>
        <v>-1055099</v>
      </c>
      <c r="L75" s="115">
        <f>H74</f>
        <v>5161923</v>
      </c>
      <c r="M75" s="101">
        <f>L75*10%</f>
        <v>516192.30000000005</v>
      </c>
      <c r="N75" s="115">
        <f>I75</f>
        <v>2900234</v>
      </c>
      <c r="O75" s="115">
        <f>SUM(I76:I77)</f>
        <v>214736</v>
      </c>
      <c r="P75" s="303">
        <f>L75-M75-N75-O75</f>
        <v>1530760.7000000002</v>
      </c>
    </row>
    <row r="76" spans="1:16">
      <c r="A76" s="35"/>
      <c r="B76" s="41">
        <v>46289</v>
      </c>
      <c r="C76" s="42">
        <v>39</v>
      </c>
      <c r="D76" s="42">
        <v>1012</v>
      </c>
      <c r="E76" s="42"/>
      <c r="F76" s="42" t="s">
        <v>242</v>
      </c>
      <c r="G76" s="42" t="s">
        <v>242</v>
      </c>
      <c r="H76" s="37"/>
      <c r="I76" s="37">
        <v>214736</v>
      </c>
      <c r="J76" s="300">
        <f t="shared" si="7"/>
        <v>-1269835</v>
      </c>
    </row>
    <row r="77" spans="1:16">
      <c r="A77" s="35"/>
      <c r="B77" s="41"/>
      <c r="C77" s="42"/>
      <c r="D77" s="42"/>
      <c r="E77" s="42"/>
      <c r="F77" s="42"/>
      <c r="G77" s="45"/>
      <c r="H77" s="37"/>
      <c r="I77" s="37"/>
      <c r="J77" s="300">
        <f t="shared" si="7"/>
        <v>-1269835</v>
      </c>
    </row>
    <row r="78" spans="1:16">
      <c r="A78" s="35"/>
      <c r="B78" s="320" t="s">
        <v>132</v>
      </c>
      <c r="C78" s="321"/>
      <c r="D78" s="321"/>
      <c r="E78" s="321"/>
      <c r="F78" s="321"/>
      <c r="G78" s="321"/>
      <c r="H78" s="321"/>
      <c r="I78" s="321"/>
      <c r="J78" s="322"/>
    </row>
    <row r="79" spans="1:16">
      <c r="A79" s="35"/>
      <c r="B79" s="41"/>
      <c r="C79" s="42"/>
      <c r="D79" s="42"/>
      <c r="E79" s="42"/>
      <c r="F79" s="42" t="s">
        <v>171</v>
      </c>
      <c r="G79" s="42" t="s">
        <v>171</v>
      </c>
      <c r="H79" s="37">
        <f>SUBVENCION!U18+SUBVENCION!V18</f>
        <v>0</v>
      </c>
      <c r="I79" s="37"/>
      <c r="J79" s="300">
        <f>J77+H79-I79</f>
        <v>-1269835</v>
      </c>
      <c r="L79" s="97" t="s">
        <v>5</v>
      </c>
      <c r="M79" s="97" t="s">
        <v>214</v>
      </c>
      <c r="N79" s="97" t="s">
        <v>212</v>
      </c>
      <c r="O79" s="97" t="s">
        <v>213</v>
      </c>
      <c r="P79" s="97" t="s">
        <v>7</v>
      </c>
    </row>
    <row r="80" spans="1:16">
      <c r="A80" s="35"/>
      <c r="B80" s="41"/>
      <c r="C80" s="42"/>
      <c r="D80" s="42"/>
      <c r="E80" s="42"/>
      <c r="F80" s="42" t="s">
        <v>199</v>
      </c>
      <c r="G80" s="42" t="s">
        <v>199</v>
      </c>
      <c r="H80" s="37"/>
      <c r="I80" s="37"/>
      <c r="J80" s="300">
        <f t="shared" si="7"/>
        <v>-1269835</v>
      </c>
      <c r="L80" s="115">
        <f>H79</f>
        <v>0</v>
      </c>
      <c r="M80" s="101">
        <f>H79*10%</f>
        <v>0</v>
      </c>
      <c r="N80" s="115">
        <f>I80</f>
        <v>0</v>
      </c>
      <c r="O80" s="115">
        <f>I81+I82+I83+I84+I85</f>
        <v>0</v>
      </c>
      <c r="P80" s="303">
        <f>L80-M80-N80-O80</f>
        <v>0</v>
      </c>
    </row>
    <row r="81" spans="1:16">
      <c r="A81" s="35"/>
      <c r="B81" s="41"/>
      <c r="C81" s="42"/>
      <c r="D81" s="42"/>
      <c r="E81" s="42"/>
      <c r="F81" s="42"/>
      <c r="G81" s="45"/>
      <c r="H81" s="37"/>
      <c r="I81" s="37"/>
      <c r="J81" s="300">
        <f t="shared" si="7"/>
        <v>-1269835</v>
      </c>
    </row>
    <row r="82" spans="1:16">
      <c r="A82" s="35"/>
      <c r="B82" s="41"/>
      <c r="C82" s="42"/>
      <c r="D82" s="42"/>
      <c r="E82" s="42"/>
      <c r="F82" s="42"/>
      <c r="G82" s="45"/>
      <c r="H82" s="37"/>
      <c r="I82" s="37"/>
      <c r="J82" s="300">
        <f t="shared" si="7"/>
        <v>-1269835</v>
      </c>
    </row>
    <row r="83" spans="1:16">
      <c r="A83" s="35"/>
      <c r="B83" s="41"/>
      <c r="C83" s="42"/>
      <c r="D83" s="42"/>
      <c r="E83" s="42"/>
      <c r="F83" s="42"/>
      <c r="G83" s="45"/>
      <c r="H83" s="37"/>
      <c r="I83" s="37"/>
      <c r="J83" s="300">
        <f t="shared" si="7"/>
        <v>-1269835</v>
      </c>
    </row>
    <row r="84" spans="1:16">
      <c r="A84" s="35"/>
      <c r="B84" s="41"/>
      <c r="C84" s="42"/>
      <c r="D84" s="42"/>
      <c r="E84" s="42"/>
      <c r="F84" s="42"/>
      <c r="G84" s="45"/>
      <c r="H84" s="37"/>
      <c r="I84" s="37"/>
      <c r="J84" s="300">
        <f t="shared" si="7"/>
        <v>-1269835</v>
      </c>
    </row>
    <row r="85" spans="1:16">
      <c r="A85" s="35"/>
      <c r="B85" s="41"/>
      <c r="C85" s="42"/>
      <c r="D85" s="42"/>
      <c r="E85" s="42"/>
      <c r="F85" s="42"/>
      <c r="G85" s="45"/>
      <c r="H85" s="37"/>
      <c r="I85" s="37"/>
      <c r="J85" s="300">
        <f t="shared" si="7"/>
        <v>-1269835</v>
      </c>
    </row>
    <row r="86" spans="1:16">
      <c r="A86" s="35"/>
      <c r="B86" s="320" t="s">
        <v>133</v>
      </c>
      <c r="C86" s="321"/>
      <c r="D86" s="321"/>
      <c r="E86" s="321"/>
      <c r="F86" s="321"/>
      <c r="G86" s="321"/>
      <c r="H86" s="321"/>
      <c r="I86" s="321"/>
      <c r="J86" s="322"/>
    </row>
    <row r="87" spans="1:16">
      <c r="A87" s="35"/>
      <c r="B87" s="41"/>
      <c r="C87" s="42"/>
      <c r="D87" s="42"/>
      <c r="E87" s="42"/>
      <c r="F87" s="42" t="s">
        <v>171</v>
      </c>
      <c r="G87" s="42" t="s">
        <v>171</v>
      </c>
      <c r="H87" s="37">
        <f>SUBVENCION!W18+SUBVENCION!X18</f>
        <v>0</v>
      </c>
      <c r="I87" s="37"/>
      <c r="J87" s="300">
        <f>+J85+H87-I87</f>
        <v>-1269835</v>
      </c>
      <c r="L87" s="97" t="s">
        <v>5</v>
      </c>
      <c r="M87" s="97" t="s">
        <v>214</v>
      </c>
      <c r="N87" s="97" t="s">
        <v>212</v>
      </c>
      <c r="O87" s="97" t="s">
        <v>213</v>
      </c>
      <c r="P87" s="97" t="s">
        <v>7</v>
      </c>
    </row>
    <row r="88" spans="1:16">
      <c r="A88" s="35"/>
      <c r="B88" s="41"/>
      <c r="C88" s="42"/>
      <c r="D88" s="42"/>
      <c r="E88" s="42"/>
      <c r="F88" s="42" t="s">
        <v>199</v>
      </c>
      <c r="G88" s="42" t="s">
        <v>199</v>
      </c>
      <c r="H88" s="37"/>
      <c r="I88" s="37"/>
      <c r="J88" s="300">
        <f t="shared" si="7"/>
        <v>-1269835</v>
      </c>
      <c r="L88" s="115">
        <f>H87</f>
        <v>0</v>
      </c>
      <c r="M88" s="101">
        <f>H87*10%</f>
        <v>0</v>
      </c>
      <c r="N88" s="115">
        <f>I88</f>
        <v>0</v>
      </c>
      <c r="O88" s="115">
        <f>I89+I90+I91+I92+I93+I94</f>
        <v>0</v>
      </c>
      <c r="P88" s="303">
        <f>L88-M88-N88-O88</f>
        <v>0</v>
      </c>
    </row>
    <row r="89" spans="1:16">
      <c r="A89" s="35"/>
      <c r="B89" s="41"/>
      <c r="C89" s="42"/>
      <c r="D89" s="42"/>
      <c r="E89" s="42"/>
      <c r="F89" s="42"/>
      <c r="G89" s="42"/>
      <c r="H89" s="37"/>
      <c r="I89" s="37"/>
      <c r="J89" s="300">
        <f t="shared" si="7"/>
        <v>-1269835</v>
      </c>
    </row>
    <row r="90" spans="1:16">
      <c r="A90" s="35"/>
      <c r="B90" s="41"/>
      <c r="C90" s="42"/>
      <c r="D90" s="42"/>
      <c r="E90" s="42"/>
      <c r="F90" s="42"/>
      <c r="G90" s="45"/>
      <c r="H90" s="37"/>
      <c r="I90" s="37"/>
      <c r="J90" s="300">
        <f t="shared" si="7"/>
        <v>-1269835</v>
      </c>
    </row>
    <row r="91" spans="1:16">
      <c r="A91" s="35"/>
      <c r="B91" s="41"/>
      <c r="C91" s="42"/>
      <c r="D91" s="42"/>
      <c r="E91" s="42"/>
      <c r="F91" s="42"/>
      <c r="G91" s="42"/>
      <c r="H91" s="37"/>
      <c r="I91" s="37"/>
      <c r="J91" s="300">
        <f t="shared" si="7"/>
        <v>-1269835</v>
      </c>
    </row>
    <row r="92" spans="1:16">
      <c r="A92" s="35"/>
      <c r="B92" s="41"/>
      <c r="C92" s="42"/>
      <c r="D92" s="42"/>
      <c r="E92" s="42"/>
      <c r="F92" s="42"/>
      <c r="G92" s="45"/>
      <c r="H92" s="37"/>
      <c r="I92" s="37"/>
      <c r="J92" s="300">
        <f t="shared" si="7"/>
        <v>-1269835</v>
      </c>
    </row>
    <row r="93" spans="1:16">
      <c r="A93" s="35"/>
      <c r="B93" s="41"/>
      <c r="C93" s="42"/>
      <c r="D93" s="42"/>
      <c r="E93" s="42"/>
      <c r="F93" s="42"/>
      <c r="G93" s="45"/>
      <c r="H93" s="37"/>
      <c r="I93" s="37"/>
      <c r="J93" s="300">
        <f t="shared" si="7"/>
        <v>-1269835</v>
      </c>
    </row>
    <row r="94" spans="1:16">
      <c r="A94" s="35"/>
      <c r="B94" s="41"/>
      <c r="C94" s="42"/>
      <c r="D94" s="42"/>
      <c r="E94" s="42"/>
      <c r="F94" s="45"/>
      <c r="G94" s="42"/>
      <c r="H94" s="37"/>
      <c r="I94" s="37"/>
      <c r="J94" s="300">
        <f t="shared" si="7"/>
        <v>-1269835</v>
      </c>
    </row>
    <row r="95" spans="1:16">
      <c r="A95" s="35"/>
      <c r="B95" s="320" t="s">
        <v>134</v>
      </c>
      <c r="C95" s="321"/>
      <c r="D95" s="321"/>
      <c r="E95" s="321"/>
      <c r="F95" s="321"/>
      <c r="G95" s="321"/>
      <c r="H95" s="321"/>
      <c r="I95" s="321"/>
      <c r="J95" s="322"/>
    </row>
    <row r="96" spans="1:16" s="87" customFormat="1">
      <c r="A96" s="85"/>
      <c r="B96" s="41"/>
      <c r="C96" s="42"/>
      <c r="D96" s="42"/>
      <c r="E96" s="42"/>
      <c r="F96" s="42" t="s">
        <v>171</v>
      </c>
      <c r="G96" s="42" t="s">
        <v>171</v>
      </c>
      <c r="H96" s="37">
        <f>SUBVENCION!Y18+SUBVENCION!Z18</f>
        <v>0</v>
      </c>
      <c r="I96" s="37"/>
      <c r="J96" s="300">
        <f>+J94+H96-I96</f>
        <v>-1269835</v>
      </c>
      <c r="L96" s="97" t="s">
        <v>5</v>
      </c>
      <c r="M96" s="97" t="s">
        <v>214</v>
      </c>
      <c r="N96" s="97" t="s">
        <v>212</v>
      </c>
      <c r="O96" s="97" t="s">
        <v>213</v>
      </c>
      <c r="P96" s="97" t="s">
        <v>7</v>
      </c>
    </row>
    <row r="97" spans="1:16">
      <c r="A97" s="35"/>
      <c r="B97" s="46"/>
      <c r="C97" s="46"/>
      <c r="D97" s="46"/>
      <c r="E97" s="46"/>
      <c r="F97" s="42" t="s">
        <v>199</v>
      </c>
      <c r="G97" s="42" t="s">
        <v>199</v>
      </c>
      <c r="H97" s="37"/>
      <c r="I97" s="37"/>
      <c r="J97" s="300">
        <f>+J96+H97-I97</f>
        <v>-1269835</v>
      </c>
      <c r="L97" s="115">
        <f>H96</f>
        <v>0</v>
      </c>
      <c r="M97" s="101">
        <f>H96*10%</f>
        <v>0</v>
      </c>
      <c r="N97" s="115">
        <f>I97</f>
        <v>0</v>
      </c>
      <c r="O97" s="115"/>
      <c r="P97" s="303">
        <f>L97-M97-N97-O97</f>
        <v>0</v>
      </c>
    </row>
    <row r="98" spans="1:16">
      <c r="A98" s="35"/>
      <c r="B98" s="46"/>
      <c r="C98" s="46"/>
      <c r="D98" s="46"/>
      <c r="E98" s="42"/>
      <c r="F98" s="42"/>
      <c r="G98" s="45"/>
      <c r="H98" s="37"/>
      <c r="I98" s="37"/>
      <c r="J98" s="300">
        <f t="shared" ref="J98:J104" si="8">+J97+H98-I98</f>
        <v>-1269835</v>
      </c>
    </row>
    <row r="99" spans="1:16">
      <c r="A99" s="35"/>
      <c r="B99" s="41"/>
      <c r="C99" s="42"/>
      <c r="D99" s="42"/>
      <c r="E99" s="42"/>
      <c r="F99" s="42"/>
      <c r="G99" s="42"/>
      <c r="H99" s="46"/>
      <c r="I99" s="37"/>
      <c r="J99" s="300">
        <f t="shared" si="8"/>
        <v>-1269835</v>
      </c>
    </row>
    <row r="100" spans="1:16">
      <c r="A100" s="35"/>
      <c r="B100" s="41"/>
      <c r="C100" s="42"/>
      <c r="D100" s="42"/>
      <c r="E100" s="42"/>
      <c r="F100" s="42"/>
      <c r="G100" s="42"/>
      <c r="H100" s="46"/>
      <c r="I100" s="37"/>
      <c r="J100" s="300">
        <f t="shared" si="8"/>
        <v>-1269835</v>
      </c>
    </row>
    <row r="101" spans="1:16">
      <c r="A101" s="35"/>
      <c r="B101" s="41"/>
      <c r="C101" s="42"/>
      <c r="D101" s="42"/>
      <c r="E101" s="42"/>
      <c r="F101" s="42"/>
      <c r="G101" s="42"/>
      <c r="H101" s="46"/>
      <c r="I101" s="37"/>
      <c r="J101" s="300">
        <f t="shared" si="8"/>
        <v>-1269835</v>
      </c>
    </row>
    <row r="102" spans="1:16">
      <c r="A102" s="35"/>
      <c r="B102" s="41"/>
      <c r="C102" s="42"/>
      <c r="D102" s="42"/>
      <c r="E102" s="42"/>
      <c r="F102" s="42"/>
      <c r="G102" s="42"/>
      <c r="H102" s="46"/>
      <c r="I102" s="37"/>
      <c r="J102" s="300">
        <f t="shared" si="8"/>
        <v>-1269835</v>
      </c>
    </row>
    <row r="103" spans="1:16">
      <c r="A103" s="35"/>
      <c r="B103" s="41"/>
      <c r="C103" s="42"/>
      <c r="D103" s="42"/>
      <c r="E103" s="42"/>
      <c r="F103" s="42"/>
      <c r="G103" s="42"/>
      <c r="H103" s="37"/>
      <c r="I103" s="37"/>
      <c r="J103" s="300">
        <f t="shared" si="8"/>
        <v>-1269835</v>
      </c>
    </row>
    <row r="104" spans="1:16">
      <c r="A104" s="35"/>
      <c r="B104" s="91"/>
      <c r="C104" s="92"/>
      <c r="D104" s="92"/>
      <c r="E104" s="92"/>
      <c r="F104" s="42" t="s">
        <v>201</v>
      </c>
      <c r="G104" s="45" t="s">
        <v>135</v>
      </c>
      <c r="H104" s="103">
        <f>(H11+H19+H23+H35+H48+H57+H64+H69+H74+H79+H87+H96)*-10%</f>
        <v>-4955341.8</v>
      </c>
      <c r="I104" s="37"/>
      <c r="J104" s="300">
        <f t="shared" si="8"/>
        <v>-6225176.7999999998</v>
      </c>
    </row>
    <row r="105" spans="1:16">
      <c r="A105" s="48"/>
      <c r="B105" s="46" t="s">
        <v>8</v>
      </c>
      <c r="C105" s="97" t="s">
        <v>8</v>
      </c>
      <c r="D105" s="97"/>
      <c r="E105" s="97"/>
      <c r="F105" s="97"/>
      <c r="G105" s="97" t="s">
        <v>9</v>
      </c>
      <c r="H105" s="38">
        <f>SUM(H9:H104)</f>
        <v>50110314.200000003</v>
      </c>
      <c r="I105" s="38">
        <f>SUM(I9:I104)</f>
        <v>56335491</v>
      </c>
      <c r="J105" s="309">
        <f>+H105-I105</f>
        <v>-6225176.799999997</v>
      </c>
    </row>
    <row r="106" spans="1:16">
      <c r="J106" s="300"/>
    </row>
    <row r="107" spans="1:16">
      <c r="L107" s="44" t="s">
        <v>223</v>
      </c>
    </row>
    <row r="109" spans="1:16">
      <c r="H109" s="97" t="s">
        <v>5</v>
      </c>
      <c r="I109" s="97" t="s">
        <v>6</v>
      </c>
      <c r="J109" s="97" t="s">
        <v>198</v>
      </c>
    </row>
    <row r="110" spans="1:16">
      <c r="H110" s="144">
        <f>+H105</f>
        <v>50110314.200000003</v>
      </c>
      <c r="I110" s="43">
        <f>+I105</f>
        <v>56335491</v>
      </c>
      <c r="J110" s="143">
        <f>+I110*100/H110</f>
        <v>112.42294505509206</v>
      </c>
    </row>
  </sheetData>
  <autoFilter ref="A8:J105" xr:uid="{00000000-0009-0000-0000-000009000000}"/>
  <mergeCells count="18">
    <mergeCell ref="B7:J7"/>
    <mergeCell ref="B34:J34"/>
    <mergeCell ref="B22:J22"/>
    <mergeCell ref="B18:J18"/>
    <mergeCell ref="B10:J10"/>
    <mergeCell ref="B2:J2"/>
    <mergeCell ref="B3:J3"/>
    <mergeCell ref="B4:J4"/>
    <mergeCell ref="B5:J5"/>
    <mergeCell ref="B6:J6"/>
    <mergeCell ref="B68:J68"/>
    <mergeCell ref="B63:J63"/>
    <mergeCell ref="B95:J95"/>
    <mergeCell ref="B56:J56"/>
    <mergeCell ref="B47:J47"/>
    <mergeCell ref="B86:J86"/>
    <mergeCell ref="B78:J78"/>
    <mergeCell ref="B73:J73"/>
  </mergeCells>
  <conditionalFormatting sqref="B56 H74:J77">
    <cfRule type="cellIs" dxfId="126" priority="24" operator="lessThan">
      <formula>0</formula>
    </cfRule>
  </conditionalFormatting>
  <conditionalFormatting sqref="B63">
    <cfRule type="cellIs" dxfId="125" priority="23" operator="lessThan">
      <formula>0</formula>
    </cfRule>
  </conditionalFormatting>
  <conditionalFormatting sqref="H96:I98">
    <cfRule type="cellIs" dxfId="124" priority="7" operator="lessThan">
      <formula>0</formula>
    </cfRule>
  </conditionalFormatting>
  <conditionalFormatting sqref="H1:J46 B47 H48:J55 H57:J62 H64:J67 H103:H104 H105:I106 H107:J108 H111:J1048576">
    <cfRule type="cellIs" dxfId="123" priority="25" operator="lessThan">
      <formula>0</formula>
    </cfRule>
  </conditionalFormatting>
  <conditionalFormatting sqref="H69:J72">
    <cfRule type="cellIs" dxfId="122" priority="5" operator="lessThan">
      <formula>0</formula>
    </cfRule>
  </conditionalFormatting>
  <conditionalFormatting sqref="H79:J85">
    <cfRule type="cellIs" dxfId="121" priority="3" operator="lessThan">
      <formula>0</formula>
    </cfRule>
  </conditionalFormatting>
  <conditionalFormatting sqref="H87:J94">
    <cfRule type="cellIs" dxfId="120" priority="2" operator="lessThan">
      <formula>0</formula>
    </cfRule>
  </conditionalFormatting>
  <conditionalFormatting sqref="I99:I104">
    <cfRule type="cellIs" dxfId="119" priority="14" operator="lessThan">
      <formula>0</formula>
    </cfRule>
  </conditionalFormatting>
  <conditionalFormatting sqref="J96:J106">
    <cfRule type="cellIs" dxfId="118" priority="1" operator="lessThan">
      <formula>0</formula>
    </cfRule>
  </conditionalFormatting>
  <pageMargins left="1.1023622047244095" right="0.70866141732283472" top="0.98425196850393704" bottom="0.74803149606299213" header="0.31496062992125984" footer="0.31496062992125984"/>
  <pageSetup paperSize="14" scale="39" fitToHeight="0" orientation="portrait" r:id="rId1"/>
  <ignoredErrors>
    <ignoredError sqref="J49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142"/>
  <sheetViews>
    <sheetView showGridLines="0" topLeftCell="B104" zoomScaleNormal="100" workbookViewId="0">
      <selection activeCell="P143" sqref="P143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1.42578125" style="44"/>
    <col min="6" max="6" width="25.7109375" style="44" bestFit="1" customWidth="1"/>
    <col min="7" max="7" width="27" style="44" customWidth="1"/>
    <col min="8" max="8" width="13.140625" style="44" bestFit="1" customWidth="1"/>
    <col min="9" max="9" width="11.5703125" style="39" bestFit="1" customWidth="1"/>
    <col min="10" max="10" width="11.7109375" style="44" bestFit="1" customWidth="1"/>
    <col min="11" max="16384" width="11.42578125" style="44"/>
  </cols>
  <sheetData>
    <row r="1" spans="1:2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>
      <c r="A4" s="35"/>
      <c r="B4" s="335" t="s">
        <v>96</v>
      </c>
      <c r="C4" s="336"/>
      <c r="D4" s="336"/>
      <c r="E4" s="336"/>
      <c r="F4" s="336"/>
      <c r="G4" s="336"/>
      <c r="H4" s="336"/>
      <c r="I4" s="336"/>
      <c r="J4" s="337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5"/>
      <c r="B5" s="335" t="s">
        <v>95</v>
      </c>
      <c r="C5" s="336"/>
      <c r="D5" s="336"/>
      <c r="E5" s="336"/>
      <c r="F5" s="336"/>
      <c r="G5" s="336"/>
      <c r="H5" s="336"/>
      <c r="I5" s="336"/>
      <c r="J5" s="337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>
      <c r="A6" s="35"/>
      <c r="B6" s="335" t="s">
        <v>74</v>
      </c>
      <c r="C6" s="336"/>
      <c r="D6" s="336"/>
      <c r="E6" s="336"/>
      <c r="F6" s="336"/>
      <c r="G6" s="336"/>
      <c r="H6" s="336"/>
      <c r="I6" s="336"/>
      <c r="J6" s="33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>
      <c r="A7" s="35"/>
      <c r="B7" s="335" t="s">
        <v>94</v>
      </c>
      <c r="C7" s="336"/>
      <c r="D7" s="336"/>
      <c r="E7" s="336"/>
      <c r="F7" s="336"/>
      <c r="G7" s="336"/>
      <c r="H7" s="336"/>
      <c r="I7" s="336"/>
      <c r="J7" s="337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>
      <c r="A9" s="35"/>
      <c r="B9" s="41"/>
      <c r="C9" s="42"/>
      <c r="D9" s="42"/>
      <c r="E9" s="42"/>
      <c r="F9" s="42"/>
      <c r="G9" s="45" t="s">
        <v>236</v>
      </c>
      <c r="H9" s="37">
        <f>'[1]E-417'!$J$149</f>
        <v>5843683</v>
      </c>
      <c r="I9" s="37"/>
      <c r="J9" s="43">
        <f>+H9-I9</f>
        <v>5843683</v>
      </c>
      <c r="K9" s="35"/>
      <c r="O9" s="35"/>
      <c r="P9" s="35"/>
      <c r="Q9" s="35"/>
      <c r="R9" s="35"/>
      <c r="S9" s="35"/>
      <c r="T9" s="35"/>
      <c r="U9" s="35"/>
      <c r="V9" s="35"/>
      <c r="W9" s="35"/>
    </row>
    <row r="10" spans="1:23" s="49" customForma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48"/>
      <c r="O10" s="48"/>
      <c r="P10" s="48"/>
      <c r="Q10" s="48"/>
      <c r="R10" s="48"/>
      <c r="S10" s="48"/>
      <c r="T10" s="48"/>
      <c r="U10" s="48"/>
      <c r="V10" s="48"/>
      <c r="W10" s="48"/>
    </row>
    <row r="11" spans="1:23">
      <c r="A11" s="35"/>
      <c r="B11" s="41"/>
      <c r="C11" s="42"/>
      <c r="D11" s="42"/>
      <c r="E11" s="40"/>
      <c r="F11" s="42" t="s">
        <v>171</v>
      </c>
      <c r="G11" s="42" t="s">
        <v>171</v>
      </c>
      <c r="H11" s="37">
        <f>SUBVENCION!C6+SUBVENCION!D6</f>
        <v>14182089</v>
      </c>
      <c r="I11" s="37"/>
      <c r="J11" s="43">
        <f>+J9+H11-I11</f>
        <v>20025772</v>
      </c>
      <c r="K11" s="35" t="s">
        <v>66</v>
      </c>
      <c r="L11" s="97" t="s">
        <v>5</v>
      </c>
      <c r="M11" s="97" t="s">
        <v>214</v>
      </c>
      <c r="N11" s="97" t="s">
        <v>212</v>
      </c>
      <c r="O11" s="97" t="s">
        <v>213</v>
      </c>
      <c r="P11" s="97" t="s">
        <v>7</v>
      </c>
      <c r="Q11" s="35"/>
      <c r="R11" s="35"/>
      <c r="S11" s="35"/>
      <c r="T11" s="35"/>
      <c r="U11" s="35"/>
      <c r="V11" s="35"/>
      <c r="W11" s="35"/>
    </row>
    <row r="12" spans="1:23">
      <c r="A12" s="35"/>
      <c r="B12" s="41"/>
      <c r="C12" s="42"/>
      <c r="D12" s="42"/>
      <c r="E12" s="40"/>
      <c r="F12" s="42" t="s">
        <v>199</v>
      </c>
      <c r="G12" s="42" t="s">
        <v>199</v>
      </c>
      <c r="H12" s="37"/>
      <c r="I12" s="37">
        <v>10527943</v>
      </c>
      <c r="J12" s="43">
        <f>+J11+H12-I12</f>
        <v>9497829</v>
      </c>
      <c r="K12" s="35"/>
      <c r="L12" s="37">
        <f>+H11</f>
        <v>14182089</v>
      </c>
      <c r="M12" s="51">
        <f>+L12*10%</f>
        <v>1418208.9000000001</v>
      </c>
      <c r="N12" s="51">
        <f>+I12</f>
        <v>10527943</v>
      </c>
      <c r="O12" s="51">
        <f>I13+I14</f>
        <v>55462</v>
      </c>
      <c r="P12" s="187">
        <f>+L12-M12-N12-O12</f>
        <v>2180475.0999999996</v>
      </c>
      <c r="Q12" s="35"/>
      <c r="R12" s="35"/>
      <c r="S12" s="35"/>
      <c r="T12" s="35"/>
      <c r="U12" s="35"/>
      <c r="V12" s="35"/>
      <c r="W12" s="35"/>
    </row>
    <row r="13" spans="1:23">
      <c r="A13" s="35"/>
      <c r="B13" s="41"/>
      <c r="C13" s="42"/>
      <c r="D13" s="42"/>
      <c r="E13" s="97">
        <v>11</v>
      </c>
      <c r="F13" s="55" t="s">
        <v>327</v>
      </c>
      <c r="G13" s="55" t="s">
        <v>327</v>
      </c>
      <c r="H13" s="226"/>
      <c r="I13" s="226">
        <v>27731</v>
      </c>
      <c r="J13" s="43">
        <f>+J12+H13-I13</f>
        <v>9470098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>
      <c r="A14" s="35"/>
      <c r="B14" s="41"/>
      <c r="C14" s="42"/>
      <c r="D14" s="42"/>
      <c r="E14" s="97">
        <v>92</v>
      </c>
      <c r="F14" s="55" t="s">
        <v>327</v>
      </c>
      <c r="G14" s="55" t="s">
        <v>327</v>
      </c>
      <c r="H14" s="226"/>
      <c r="I14" s="226">
        <v>27731</v>
      </c>
      <c r="J14" s="43">
        <f>+J13+H14-I14</f>
        <v>9442367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 s="49" customFormat="1">
      <c r="A15" s="48"/>
      <c r="B15" s="330" t="s">
        <v>67</v>
      </c>
      <c r="C15" s="331"/>
      <c r="D15" s="331"/>
      <c r="E15" s="331"/>
      <c r="F15" s="331"/>
      <c r="G15" s="331"/>
      <c r="H15" s="331"/>
      <c r="I15" s="331"/>
      <c r="J15" s="332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</row>
    <row r="16" spans="1:23">
      <c r="A16" s="35"/>
      <c r="B16" s="41"/>
      <c r="C16" s="42"/>
      <c r="D16" s="42"/>
      <c r="E16" s="40"/>
      <c r="F16" s="42" t="s">
        <v>171</v>
      </c>
      <c r="G16" s="42" t="s">
        <v>171</v>
      </c>
      <c r="H16" s="37">
        <f>SUBVENCION!E6+SUBVENCION!F6</f>
        <v>14313112</v>
      </c>
      <c r="I16" s="37"/>
      <c r="J16" s="43">
        <f>+J14+H16-I16</f>
        <v>23755479</v>
      </c>
      <c r="K16" s="35" t="s">
        <v>67</v>
      </c>
      <c r="L16" s="97" t="s">
        <v>5</v>
      </c>
      <c r="M16" s="97" t="s">
        <v>214</v>
      </c>
      <c r="N16" s="97" t="s">
        <v>212</v>
      </c>
      <c r="O16" s="97" t="s">
        <v>213</v>
      </c>
      <c r="P16" s="97" t="s">
        <v>7</v>
      </c>
      <c r="Q16" s="35"/>
      <c r="R16" s="35"/>
      <c r="S16" s="35"/>
      <c r="T16" s="35"/>
      <c r="U16" s="35"/>
      <c r="V16" s="35"/>
      <c r="W16" s="35"/>
    </row>
    <row r="17" spans="1:23">
      <c r="A17" s="35"/>
      <c r="B17" s="41"/>
      <c r="C17" s="42"/>
      <c r="D17" s="42"/>
      <c r="E17" s="40"/>
      <c r="F17" s="42" t="s">
        <v>199</v>
      </c>
      <c r="G17" s="42" t="s">
        <v>199</v>
      </c>
      <c r="H17" s="37"/>
      <c r="I17" s="37">
        <v>11157706</v>
      </c>
      <c r="J17" s="43">
        <f>+J16+H17-I17</f>
        <v>12597773</v>
      </c>
      <c r="K17" s="35"/>
      <c r="L17" s="37">
        <f>+H16</f>
        <v>14313112</v>
      </c>
      <c r="M17" s="51">
        <f>+L17*10%</f>
        <v>1431311.2000000002</v>
      </c>
      <c r="N17" s="51">
        <f>+I17</f>
        <v>11157706</v>
      </c>
      <c r="O17" s="51">
        <f>+I18+I19</f>
        <v>1827772</v>
      </c>
      <c r="P17" s="187">
        <f>+L17-M17-N17-O17</f>
        <v>-103677.19999999925</v>
      </c>
      <c r="Q17" s="35"/>
      <c r="R17" s="35"/>
      <c r="S17" s="35"/>
      <c r="T17" s="35"/>
      <c r="U17" s="35"/>
      <c r="V17" s="35"/>
      <c r="W17" s="35"/>
    </row>
    <row r="18" spans="1:23">
      <c r="A18" s="35"/>
      <c r="B18" s="41">
        <v>46079</v>
      </c>
      <c r="C18" s="40">
        <v>1</v>
      </c>
      <c r="D18" s="40" t="s">
        <v>759</v>
      </c>
      <c r="E18" s="40" t="s">
        <v>701</v>
      </c>
      <c r="F18" s="42" t="s">
        <v>322</v>
      </c>
      <c r="G18" s="42" t="s">
        <v>322</v>
      </c>
      <c r="H18" s="37"/>
      <c r="I18" s="37">
        <v>1800000</v>
      </c>
      <c r="J18" s="43">
        <f t="shared" ref="J18:J20" si="0">+J17+H18-I18</f>
        <v>10797773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>
      <c r="A19" s="35"/>
      <c r="B19" s="41"/>
      <c r="C19" s="40"/>
      <c r="D19" s="40"/>
      <c r="E19" s="97">
        <v>163</v>
      </c>
      <c r="F19" s="55" t="s">
        <v>327</v>
      </c>
      <c r="G19" s="55" t="s">
        <v>327</v>
      </c>
      <c r="H19" s="226"/>
      <c r="I19" s="226">
        <v>27772</v>
      </c>
      <c r="J19" s="43">
        <f t="shared" si="0"/>
        <v>10770001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3">
      <c r="A20" s="35"/>
      <c r="B20" s="41"/>
      <c r="C20" s="40"/>
      <c r="D20" s="40"/>
      <c r="E20" s="42"/>
      <c r="F20" s="42"/>
      <c r="G20" s="45"/>
      <c r="H20" s="37"/>
      <c r="I20" s="37"/>
      <c r="J20" s="43">
        <f t="shared" si="0"/>
        <v>10770001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</row>
    <row r="21" spans="1:23" s="49" customFormat="1">
      <c r="A21" s="48"/>
      <c r="B21" s="330" t="s">
        <v>68</v>
      </c>
      <c r="C21" s="331"/>
      <c r="D21" s="331"/>
      <c r="E21" s="331"/>
      <c r="F21" s="331"/>
      <c r="G21" s="331"/>
      <c r="H21" s="331"/>
      <c r="I21" s="331"/>
      <c r="J21" s="332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spans="1:23">
      <c r="A22" s="35"/>
      <c r="B22" s="41"/>
      <c r="C22" s="42"/>
      <c r="D22" s="42"/>
      <c r="E22" s="40"/>
      <c r="F22" s="42" t="s">
        <v>171</v>
      </c>
      <c r="G22" s="42" t="s">
        <v>171</v>
      </c>
      <c r="H22" s="37">
        <f>SUBVENCION!G6+SUBVENCION!H6</f>
        <v>14225576</v>
      </c>
      <c r="I22" s="37"/>
      <c r="J22" s="43">
        <f>+J20+H22-I22</f>
        <v>24995577</v>
      </c>
      <c r="K22" s="35" t="s">
        <v>68</v>
      </c>
      <c r="L22" s="97" t="s">
        <v>5</v>
      </c>
      <c r="M22" s="97" t="s">
        <v>214</v>
      </c>
      <c r="N22" s="97" t="s">
        <v>212</v>
      </c>
      <c r="O22" s="97" t="s">
        <v>213</v>
      </c>
      <c r="P22" s="97" t="s">
        <v>7</v>
      </c>
      <c r="Q22" s="35"/>
      <c r="R22" s="35"/>
      <c r="S22" s="35"/>
      <c r="T22" s="35"/>
      <c r="U22" s="35"/>
      <c r="V22" s="35"/>
      <c r="W22" s="35"/>
    </row>
    <row r="23" spans="1:23">
      <c r="A23" s="35"/>
      <c r="B23" s="41"/>
      <c r="C23" s="42"/>
      <c r="D23" s="42"/>
      <c r="E23" s="40"/>
      <c r="F23" s="42" t="s">
        <v>199</v>
      </c>
      <c r="G23" s="42" t="s">
        <v>199</v>
      </c>
      <c r="H23" s="37"/>
      <c r="I23" s="37">
        <v>9385199</v>
      </c>
      <c r="J23" s="43">
        <f>+J22+H23-I23</f>
        <v>15610378</v>
      </c>
      <c r="K23" s="35"/>
      <c r="L23" s="37">
        <f>+H22</f>
        <v>14225576</v>
      </c>
      <c r="M23" s="51">
        <f>+L23*10%</f>
        <v>1422557.6</v>
      </c>
      <c r="N23" s="51">
        <f>+I23</f>
        <v>9385199</v>
      </c>
      <c r="O23" s="51">
        <f>I24+I25+I26+I27+I28+I29+I30+I31+I32+I33+I34+I35</f>
        <v>2289316</v>
      </c>
      <c r="P23" s="187">
        <f>+L23-M23-N23-O23</f>
        <v>1128503.4000000004</v>
      </c>
      <c r="Q23" s="35"/>
      <c r="R23" s="35"/>
      <c r="S23" s="35"/>
      <c r="T23" s="35"/>
      <c r="U23" s="35"/>
      <c r="V23" s="35"/>
      <c r="W23" s="35"/>
    </row>
    <row r="24" spans="1:23">
      <c r="B24" s="41">
        <v>46084</v>
      </c>
      <c r="C24" s="42">
        <v>5</v>
      </c>
      <c r="D24" s="40">
        <v>25</v>
      </c>
      <c r="E24" s="40">
        <v>575</v>
      </c>
      <c r="F24" s="42" t="s">
        <v>272</v>
      </c>
      <c r="G24" s="45" t="s">
        <v>240</v>
      </c>
      <c r="H24" s="37"/>
      <c r="I24" s="37">
        <v>205459</v>
      </c>
      <c r="J24" s="43">
        <f t="shared" ref="J24:J35" si="1">+J23+H24-I24</f>
        <v>15404919</v>
      </c>
    </row>
    <row r="25" spans="1:23">
      <c r="B25" s="41">
        <v>46084</v>
      </c>
      <c r="C25" s="42">
        <v>6</v>
      </c>
      <c r="D25" s="40">
        <v>26</v>
      </c>
      <c r="E25" s="40">
        <v>257</v>
      </c>
      <c r="F25" s="42" t="s">
        <v>272</v>
      </c>
      <c r="G25" s="45" t="s">
        <v>240</v>
      </c>
      <c r="H25" s="37"/>
      <c r="I25" s="37">
        <v>205500</v>
      </c>
      <c r="J25" s="43">
        <f t="shared" si="1"/>
        <v>15199419</v>
      </c>
    </row>
    <row r="26" spans="1:23">
      <c r="B26" s="41">
        <v>46085</v>
      </c>
      <c r="C26" s="42">
        <v>12</v>
      </c>
      <c r="D26" s="40">
        <v>40</v>
      </c>
      <c r="E26" s="40">
        <v>574</v>
      </c>
      <c r="F26" s="42" t="s">
        <v>278</v>
      </c>
      <c r="G26" s="45" t="s">
        <v>271</v>
      </c>
      <c r="H26" s="37"/>
      <c r="I26" s="37">
        <v>205555</v>
      </c>
      <c r="J26" s="43">
        <f t="shared" si="1"/>
        <v>14993864</v>
      </c>
      <c r="O26" s="181"/>
    </row>
    <row r="27" spans="1:23">
      <c r="A27" s="44" t="s">
        <v>223</v>
      </c>
      <c r="B27" s="41">
        <v>46087</v>
      </c>
      <c r="C27" s="42">
        <v>16</v>
      </c>
      <c r="D27" s="40">
        <v>58</v>
      </c>
      <c r="E27" s="40">
        <v>380</v>
      </c>
      <c r="F27" s="42" t="s">
        <v>272</v>
      </c>
      <c r="G27" s="45" t="s">
        <v>297</v>
      </c>
      <c r="H27" s="37"/>
      <c r="I27" s="37">
        <v>191860</v>
      </c>
      <c r="J27" s="43">
        <f t="shared" si="1"/>
        <v>14802004</v>
      </c>
    </row>
    <row r="28" spans="1:23">
      <c r="B28" s="41">
        <v>46090</v>
      </c>
      <c r="C28" s="42">
        <v>17</v>
      </c>
      <c r="D28" s="40">
        <v>59</v>
      </c>
      <c r="E28" s="40">
        <v>424</v>
      </c>
      <c r="F28" s="42" t="s">
        <v>242</v>
      </c>
      <c r="G28" s="42" t="s">
        <v>242</v>
      </c>
      <c r="H28" s="37"/>
      <c r="I28" s="37">
        <v>208000</v>
      </c>
      <c r="J28" s="43">
        <f t="shared" si="1"/>
        <v>14594004</v>
      </c>
    </row>
    <row r="29" spans="1:23">
      <c r="B29" s="41">
        <v>46099</v>
      </c>
      <c r="C29" s="42">
        <v>18</v>
      </c>
      <c r="D29" s="40">
        <v>134</v>
      </c>
      <c r="E29" s="40">
        <v>376</v>
      </c>
      <c r="F29" s="42" t="s">
        <v>278</v>
      </c>
      <c r="G29" s="45" t="s">
        <v>271</v>
      </c>
      <c r="H29" s="37"/>
      <c r="I29" s="37">
        <v>208803</v>
      </c>
      <c r="J29" s="43">
        <f t="shared" si="1"/>
        <v>14385201</v>
      </c>
    </row>
    <row r="30" spans="1:23">
      <c r="B30" s="41">
        <v>46099</v>
      </c>
      <c r="C30" s="42">
        <v>19</v>
      </c>
      <c r="D30" s="40">
        <v>135</v>
      </c>
      <c r="E30" s="40">
        <v>385</v>
      </c>
      <c r="F30" s="42" t="s">
        <v>323</v>
      </c>
      <c r="G30" s="45" t="s">
        <v>324</v>
      </c>
      <c r="H30" s="37"/>
      <c r="I30" s="37">
        <v>208559</v>
      </c>
      <c r="J30" s="43">
        <f t="shared" si="1"/>
        <v>14176642</v>
      </c>
    </row>
    <row r="31" spans="1:23">
      <c r="B31" s="41"/>
      <c r="C31" s="42"/>
      <c r="D31" s="40"/>
      <c r="E31" s="97"/>
      <c r="F31" s="55" t="s">
        <v>326</v>
      </c>
      <c r="G31" s="55" t="s">
        <v>326</v>
      </c>
      <c r="H31" s="226"/>
      <c r="I31" s="226">
        <v>27731</v>
      </c>
      <c r="J31" s="43">
        <f t="shared" si="1"/>
        <v>14148911</v>
      </c>
    </row>
    <row r="32" spans="1:23">
      <c r="B32" s="41">
        <v>46101</v>
      </c>
      <c r="C32" s="42">
        <v>20</v>
      </c>
      <c r="D32" s="40">
        <v>177</v>
      </c>
      <c r="E32" s="40">
        <v>374</v>
      </c>
      <c r="F32" s="42" t="s">
        <v>242</v>
      </c>
      <c r="G32" s="42" t="s">
        <v>242</v>
      </c>
      <c r="H32" s="37"/>
      <c r="I32" s="37">
        <v>207970</v>
      </c>
      <c r="J32" s="43">
        <f t="shared" si="1"/>
        <v>13940941</v>
      </c>
    </row>
    <row r="33" spans="2:16">
      <c r="B33" s="41">
        <v>46107</v>
      </c>
      <c r="C33" s="42">
        <v>21</v>
      </c>
      <c r="D33" s="40">
        <v>178</v>
      </c>
      <c r="E33" s="40">
        <v>379</v>
      </c>
      <c r="F33" s="42" t="s">
        <v>272</v>
      </c>
      <c r="G33" s="45" t="s">
        <v>355</v>
      </c>
      <c r="H33" s="37"/>
      <c r="I33" s="37">
        <v>202889</v>
      </c>
      <c r="J33" s="43">
        <f t="shared" si="1"/>
        <v>13738052</v>
      </c>
    </row>
    <row r="34" spans="2:16">
      <c r="B34" s="41">
        <v>46107</v>
      </c>
      <c r="C34" s="42">
        <v>23</v>
      </c>
      <c r="D34" s="40">
        <v>179</v>
      </c>
      <c r="E34" s="40">
        <v>426</v>
      </c>
      <c r="F34" s="42" t="s">
        <v>242</v>
      </c>
      <c r="G34" s="45" t="s">
        <v>242</v>
      </c>
      <c r="H34" s="37"/>
      <c r="I34" s="37">
        <v>208000</v>
      </c>
      <c r="J34" s="43">
        <f t="shared" si="1"/>
        <v>13530052</v>
      </c>
    </row>
    <row r="35" spans="2:16">
      <c r="B35" s="41">
        <v>46108</v>
      </c>
      <c r="C35" s="42">
        <v>24</v>
      </c>
      <c r="D35" s="40">
        <v>180</v>
      </c>
      <c r="E35" s="40">
        <v>408</v>
      </c>
      <c r="F35" s="42" t="s">
        <v>295</v>
      </c>
      <c r="G35" s="45" t="s">
        <v>261</v>
      </c>
      <c r="H35" s="37"/>
      <c r="I35" s="37">
        <v>208990</v>
      </c>
      <c r="J35" s="43">
        <f t="shared" si="1"/>
        <v>13321062</v>
      </c>
    </row>
    <row r="36" spans="2:16" s="49" customFormat="1">
      <c r="B36" s="330" t="s">
        <v>69</v>
      </c>
      <c r="C36" s="331"/>
      <c r="D36" s="331"/>
      <c r="E36" s="331"/>
      <c r="F36" s="331"/>
      <c r="G36" s="331"/>
      <c r="H36" s="331"/>
      <c r="I36" s="331"/>
      <c r="J36" s="332"/>
    </row>
    <row r="37" spans="2:16">
      <c r="B37" s="41"/>
      <c r="C37" s="42"/>
      <c r="D37" s="42"/>
      <c r="E37" s="42"/>
      <c r="F37" s="42" t="s">
        <v>171</v>
      </c>
      <c r="G37" s="42" t="s">
        <v>171</v>
      </c>
      <c r="H37" s="37">
        <f>SUBVENCION!I6+SUBVENCION!J6</f>
        <v>13989832</v>
      </c>
      <c r="I37" s="37"/>
      <c r="J37" s="43">
        <f>+J35+H37-I37</f>
        <v>27310894</v>
      </c>
      <c r="K37" s="44" t="s">
        <v>69</v>
      </c>
      <c r="L37" s="97" t="s">
        <v>5</v>
      </c>
      <c r="M37" s="97" t="s">
        <v>214</v>
      </c>
      <c r="N37" s="97" t="s">
        <v>212</v>
      </c>
      <c r="O37" s="97" t="s">
        <v>213</v>
      </c>
      <c r="P37" s="97" t="s">
        <v>7</v>
      </c>
    </row>
    <row r="38" spans="2:16">
      <c r="B38" s="41"/>
      <c r="C38" s="42"/>
      <c r="D38" s="42"/>
      <c r="E38" s="42"/>
      <c r="F38" s="42" t="s">
        <v>199</v>
      </c>
      <c r="G38" s="42" t="s">
        <v>199</v>
      </c>
      <c r="H38" s="37"/>
      <c r="I38" s="37">
        <v>10858560</v>
      </c>
      <c r="J38" s="43">
        <f>+J37+H38-I38</f>
        <v>16452334</v>
      </c>
      <c r="L38" s="37">
        <f>+H37</f>
        <v>13989832</v>
      </c>
      <c r="M38" s="51">
        <f>+L38*10%</f>
        <v>1398983.2000000002</v>
      </c>
      <c r="N38" s="51">
        <f>+I38</f>
        <v>10858560</v>
      </c>
      <c r="O38" s="51">
        <f>I39+I40+I41+I42+I43+I44+I45+I46+I47+I48+I49</f>
        <v>2603700</v>
      </c>
      <c r="P38" s="187">
        <f>+L38-M38-N38-O38</f>
        <v>-871411.19999999925</v>
      </c>
    </row>
    <row r="39" spans="2:16">
      <c r="B39" s="41">
        <v>46119</v>
      </c>
      <c r="C39" s="42">
        <v>29</v>
      </c>
      <c r="D39" s="40">
        <v>259</v>
      </c>
      <c r="E39" s="42">
        <v>567</v>
      </c>
      <c r="F39" s="42" t="s">
        <v>222</v>
      </c>
      <c r="G39" s="45" t="s">
        <v>219</v>
      </c>
      <c r="H39" s="37"/>
      <c r="I39" s="37">
        <v>150000</v>
      </c>
      <c r="J39" s="43">
        <f t="shared" ref="J39:J51" si="2">+J38+H39-I39</f>
        <v>16302334</v>
      </c>
    </row>
    <row r="40" spans="2:16">
      <c r="B40" s="41">
        <v>46121</v>
      </c>
      <c r="C40" s="42">
        <v>30</v>
      </c>
      <c r="D40" s="40">
        <v>295</v>
      </c>
      <c r="E40" s="42">
        <v>599</v>
      </c>
      <c r="F40" s="42" t="s">
        <v>242</v>
      </c>
      <c r="G40" s="42" t="s">
        <v>242</v>
      </c>
      <c r="H40" s="37"/>
      <c r="I40" s="37">
        <v>209080</v>
      </c>
      <c r="J40" s="43">
        <f t="shared" si="2"/>
        <v>16093254</v>
      </c>
    </row>
    <row r="41" spans="2:16">
      <c r="B41" s="41">
        <v>46128</v>
      </c>
      <c r="C41" s="42">
        <v>35</v>
      </c>
      <c r="D41" s="40" t="s">
        <v>657</v>
      </c>
      <c r="E41" s="42">
        <v>1349</v>
      </c>
      <c r="F41" s="42" t="s">
        <v>295</v>
      </c>
      <c r="G41" s="45" t="s">
        <v>400</v>
      </c>
      <c r="H41" s="37"/>
      <c r="I41" s="37">
        <v>547138</v>
      </c>
      <c r="J41" s="43">
        <f t="shared" si="2"/>
        <v>15546116</v>
      </c>
      <c r="L41" s="160"/>
    </row>
    <row r="42" spans="2:16">
      <c r="B42" s="41">
        <v>46121</v>
      </c>
      <c r="C42" s="42">
        <v>31</v>
      </c>
      <c r="D42" s="40">
        <v>308</v>
      </c>
      <c r="E42" s="42">
        <v>575</v>
      </c>
      <c r="F42" s="42" t="s">
        <v>272</v>
      </c>
      <c r="G42" s="45" t="s">
        <v>240</v>
      </c>
      <c r="H42" s="37"/>
      <c r="I42" s="37">
        <v>209000</v>
      </c>
      <c r="J42" s="43">
        <f t="shared" si="2"/>
        <v>15337116</v>
      </c>
      <c r="L42" s="160"/>
    </row>
    <row r="43" spans="2:16">
      <c r="B43" s="41">
        <v>46121</v>
      </c>
      <c r="C43" s="42">
        <v>33</v>
      </c>
      <c r="D43" s="40">
        <v>309</v>
      </c>
      <c r="E43" s="42">
        <v>574</v>
      </c>
      <c r="F43" s="42" t="s">
        <v>295</v>
      </c>
      <c r="G43" s="45" t="s">
        <v>261</v>
      </c>
      <c r="H43" s="37"/>
      <c r="I43" s="37">
        <v>208990</v>
      </c>
      <c r="J43" s="43">
        <f t="shared" si="2"/>
        <v>15128126</v>
      </c>
      <c r="L43" s="160"/>
    </row>
    <row r="44" spans="2:16">
      <c r="B44" s="41">
        <v>46129</v>
      </c>
      <c r="C44" s="42">
        <v>40</v>
      </c>
      <c r="D44" s="40">
        <v>313</v>
      </c>
      <c r="E44" s="42">
        <v>643</v>
      </c>
      <c r="F44" s="42" t="s">
        <v>272</v>
      </c>
      <c r="G44" s="45" t="s">
        <v>240</v>
      </c>
      <c r="H44" s="37"/>
      <c r="I44" s="37">
        <v>207790</v>
      </c>
      <c r="J44" s="43">
        <f t="shared" si="2"/>
        <v>14920336</v>
      </c>
      <c r="L44" s="160"/>
    </row>
    <row r="45" spans="2:16">
      <c r="B45" s="41">
        <v>46134</v>
      </c>
      <c r="C45" s="42">
        <v>41</v>
      </c>
      <c r="D45" s="40">
        <v>311</v>
      </c>
      <c r="E45" s="42">
        <v>649</v>
      </c>
      <c r="F45" s="42" t="s">
        <v>242</v>
      </c>
      <c r="G45" s="42" t="s">
        <v>242</v>
      </c>
      <c r="H45" s="37"/>
      <c r="I45" s="37">
        <v>209000</v>
      </c>
      <c r="J45" s="43">
        <f t="shared" si="2"/>
        <v>14711336</v>
      </c>
      <c r="L45" s="160"/>
    </row>
    <row r="46" spans="2:16">
      <c r="B46" s="41">
        <v>46134</v>
      </c>
      <c r="C46" s="42">
        <v>42</v>
      </c>
      <c r="D46" s="40">
        <v>312</v>
      </c>
      <c r="E46" s="42">
        <v>699</v>
      </c>
      <c r="F46" s="42" t="s">
        <v>353</v>
      </c>
      <c r="G46" s="45" t="s">
        <v>408</v>
      </c>
      <c r="H46" s="37"/>
      <c r="I46" s="37">
        <v>209000</v>
      </c>
      <c r="J46" s="43">
        <f t="shared" si="2"/>
        <v>14502336</v>
      </c>
      <c r="L46" s="160"/>
    </row>
    <row r="47" spans="2:16">
      <c r="B47" s="41">
        <v>46136</v>
      </c>
      <c r="C47" s="42">
        <v>43</v>
      </c>
      <c r="D47" s="40" t="s">
        <v>490</v>
      </c>
      <c r="E47" s="42">
        <v>1167</v>
      </c>
      <c r="F47" s="42" t="s">
        <v>423</v>
      </c>
      <c r="G47" s="45" t="s">
        <v>423</v>
      </c>
      <c r="H47" s="37"/>
      <c r="I47" s="37">
        <v>420967</v>
      </c>
      <c r="J47" s="43">
        <f t="shared" si="2"/>
        <v>14081369</v>
      </c>
      <c r="L47" s="160"/>
    </row>
    <row r="48" spans="2:16">
      <c r="B48" s="41">
        <v>46141</v>
      </c>
      <c r="C48" s="42">
        <v>44</v>
      </c>
      <c r="D48" s="40">
        <v>371</v>
      </c>
      <c r="E48" s="42">
        <v>744</v>
      </c>
      <c r="F48" s="42" t="s">
        <v>295</v>
      </c>
      <c r="G48" s="45" t="s">
        <v>261</v>
      </c>
      <c r="H48" s="37"/>
      <c r="I48" s="37">
        <v>208990</v>
      </c>
      <c r="J48" s="43">
        <f t="shared" si="2"/>
        <v>13872379</v>
      </c>
      <c r="L48" s="160"/>
    </row>
    <row r="49" spans="2:16">
      <c r="B49" s="41"/>
      <c r="C49" s="42"/>
      <c r="D49" s="42"/>
      <c r="E49" s="55">
        <v>549</v>
      </c>
      <c r="F49" s="55" t="s">
        <v>326</v>
      </c>
      <c r="G49" s="55" t="s">
        <v>326</v>
      </c>
      <c r="H49" s="226"/>
      <c r="I49" s="226">
        <v>23745</v>
      </c>
      <c r="J49" s="43">
        <f t="shared" si="2"/>
        <v>13848634</v>
      </c>
      <c r="L49" s="160"/>
    </row>
    <row r="50" spans="2:16">
      <c r="B50" s="127"/>
      <c r="C50" s="127"/>
      <c r="D50" s="127"/>
      <c r="E50" s="127"/>
      <c r="F50" s="127"/>
      <c r="G50" s="127"/>
      <c r="H50" s="127"/>
      <c r="I50" s="205"/>
      <c r="J50" s="43">
        <f t="shared" si="2"/>
        <v>13848634</v>
      </c>
      <c r="L50" s="160"/>
    </row>
    <row r="51" spans="2:16">
      <c r="B51" s="127"/>
      <c r="C51" s="127"/>
      <c r="D51" s="127"/>
      <c r="E51" s="127"/>
      <c r="F51" s="127"/>
      <c r="G51" s="127"/>
      <c r="H51" s="127"/>
      <c r="I51" s="205"/>
      <c r="J51" s="43">
        <f t="shared" si="2"/>
        <v>13848634</v>
      </c>
      <c r="L51" s="160"/>
    </row>
    <row r="52" spans="2:16">
      <c r="B52" s="341" t="s">
        <v>120</v>
      </c>
      <c r="C52" s="342"/>
      <c r="D52" s="342"/>
      <c r="E52" s="342"/>
      <c r="F52" s="342"/>
      <c r="G52" s="342"/>
      <c r="H52" s="342"/>
      <c r="I52" s="342"/>
      <c r="J52" s="343"/>
      <c r="L52" s="160"/>
    </row>
    <row r="53" spans="2:16">
      <c r="B53" s="41"/>
      <c r="C53" s="42"/>
      <c r="D53" s="42"/>
      <c r="E53" s="42"/>
      <c r="F53" s="42" t="s">
        <v>171</v>
      </c>
      <c r="G53" s="42" t="s">
        <v>171</v>
      </c>
      <c r="H53" s="37">
        <f>SUBVENCION!K6+SUBVENCION!L6</f>
        <v>13981020</v>
      </c>
      <c r="I53" s="37"/>
      <c r="J53" s="43">
        <f>+J51+H53-I53</f>
        <v>27829654</v>
      </c>
      <c r="K53" s="44" t="s">
        <v>120</v>
      </c>
      <c r="L53" s="97" t="s">
        <v>5</v>
      </c>
      <c r="M53" s="97" t="s">
        <v>214</v>
      </c>
      <c r="N53" s="97" t="s">
        <v>212</v>
      </c>
      <c r="O53" s="97" t="s">
        <v>213</v>
      </c>
      <c r="P53" s="97" t="s">
        <v>7</v>
      </c>
    </row>
    <row r="54" spans="2:16">
      <c r="B54" s="41"/>
      <c r="C54" s="42"/>
      <c r="D54" s="42"/>
      <c r="E54" s="42"/>
      <c r="F54" s="42" t="s">
        <v>199</v>
      </c>
      <c r="G54" s="42" t="s">
        <v>199</v>
      </c>
      <c r="H54" s="37"/>
      <c r="I54" s="37">
        <v>10911342</v>
      </c>
      <c r="J54" s="43">
        <f>+J53+H54-I54</f>
        <v>16918312</v>
      </c>
      <c r="L54" s="37">
        <f>+H53</f>
        <v>13981020</v>
      </c>
      <c r="M54" s="51">
        <f>+L54*10%</f>
        <v>1398102</v>
      </c>
      <c r="N54" s="51">
        <f>+I54</f>
        <v>10911342</v>
      </c>
      <c r="O54" s="51">
        <f>I55+I57+I58+I59+I56</f>
        <v>3535407</v>
      </c>
      <c r="P54" s="187">
        <f>+L54-M54-N54-O54</f>
        <v>-1863831</v>
      </c>
    </row>
    <row r="55" spans="2:16">
      <c r="B55" s="41">
        <v>46153</v>
      </c>
      <c r="C55" s="42">
        <v>47</v>
      </c>
      <c r="D55" s="40">
        <v>440</v>
      </c>
      <c r="E55" s="42">
        <v>747</v>
      </c>
      <c r="F55" s="42" t="s">
        <v>242</v>
      </c>
      <c r="G55" s="42" t="s">
        <v>242</v>
      </c>
      <c r="H55" s="37"/>
      <c r="I55" s="37">
        <v>209040</v>
      </c>
      <c r="J55" s="43">
        <f t="shared" ref="J55:J60" si="3">+J54+H55-I55</f>
        <v>16709272</v>
      </c>
      <c r="L55" s="155"/>
      <c r="M55" s="156"/>
      <c r="N55" s="156"/>
      <c r="O55" s="156"/>
      <c r="P55" s="157"/>
    </row>
    <row r="56" spans="2:16">
      <c r="B56" s="41">
        <v>46162</v>
      </c>
      <c r="C56" s="42">
        <v>49</v>
      </c>
      <c r="D56" s="40">
        <v>485</v>
      </c>
      <c r="E56" s="42"/>
      <c r="F56" s="42" t="s">
        <v>272</v>
      </c>
      <c r="G56" s="45" t="s">
        <v>240</v>
      </c>
      <c r="H56" s="37"/>
      <c r="I56" s="268">
        <v>206000</v>
      </c>
      <c r="J56" s="43">
        <f t="shared" si="3"/>
        <v>16503272</v>
      </c>
      <c r="L56" s="155"/>
      <c r="M56" s="156"/>
      <c r="N56" s="156"/>
      <c r="O56" s="156"/>
      <c r="P56" s="157"/>
    </row>
    <row r="57" spans="2:16">
      <c r="B57" s="41">
        <v>46170</v>
      </c>
      <c r="C57" s="42">
        <v>53</v>
      </c>
      <c r="D57" s="40" t="s">
        <v>600</v>
      </c>
      <c r="E57" s="42">
        <v>1165</v>
      </c>
      <c r="F57" s="42" t="s">
        <v>465</v>
      </c>
      <c r="G57" s="42" t="s">
        <v>465</v>
      </c>
      <c r="H57" s="37"/>
      <c r="I57" s="37">
        <v>2888832</v>
      </c>
      <c r="J57" s="43">
        <f t="shared" si="3"/>
        <v>13614440</v>
      </c>
      <c r="L57" s="155"/>
      <c r="M57" s="156"/>
      <c r="N57" s="156"/>
      <c r="O57" s="156"/>
      <c r="P57" s="157"/>
    </row>
    <row r="58" spans="2:16">
      <c r="B58" s="41">
        <v>46170</v>
      </c>
      <c r="C58" s="42">
        <v>52</v>
      </c>
      <c r="D58" s="40">
        <v>501</v>
      </c>
      <c r="E58" s="42">
        <v>1197</v>
      </c>
      <c r="F58" s="42" t="s">
        <v>278</v>
      </c>
      <c r="G58" s="42" t="s">
        <v>271</v>
      </c>
      <c r="H58" s="37"/>
      <c r="I58" s="37">
        <v>203834</v>
      </c>
      <c r="J58" s="43">
        <f t="shared" si="3"/>
        <v>13410606</v>
      </c>
      <c r="L58" s="155"/>
      <c r="M58" s="156"/>
      <c r="N58" s="156"/>
      <c r="O58" s="156"/>
      <c r="P58" s="157"/>
    </row>
    <row r="59" spans="2:16">
      <c r="B59" s="41"/>
      <c r="C59" s="42"/>
      <c r="D59" s="42"/>
      <c r="E59" s="42">
        <v>564</v>
      </c>
      <c r="F59" s="55" t="s">
        <v>326</v>
      </c>
      <c r="G59" s="55" t="s">
        <v>326</v>
      </c>
      <c r="H59" s="37"/>
      <c r="I59" s="37">
        <v>27701</v>
      </c>
      <c r="J59" s="43">
        <f t="shared" si="3"/>
        <v>13382905</v>
      </c>
      <c r="L59" s="155"/>
      <c r="M59" s="156"/>
      <c r="N59" s="156"/>
      <c r="O59" s="156"/>
      <c r="P59" s="157"/>
    </row>
    <row r="60" spans="2:16">
      <c r="B60" s="41"/>
      <c r="C60" s="42"/>
      <c r="D60" s="42"/>
      <c r="E60" s="42"/>
      <c r="F60" s="42"/>
      <c r="G60" s="45"/>
      <c r="H60" s="37"/>
      <c r="I60" s="37"/>
      <c r="J60" s="43">
        <f t="shared" si="3"/>
        <v>13382905</v>
      </c>
      <c r="L60" s="160"/>
    </row>
    <row r="61" spans="2:16">
      <c r="B61" s="341" t="s">
        <v>129</v>
      </c>
      <c r="C61" s="342"/>
      <c r="D61" s="342"/>
      <c r="E61" s="342"/>
      <c r="F61" s="342"/>
      <c r="G61" s="342"/>
      <c r="H61" s="342"/>
      <c r="I61" s="342"/>
      <c r="J61" s="343"/>
    </row>
    <row r="62" spans="2:16">
      <c r="B62" s="41"/>
      <c r="C62" s="42"/>
      <c r="D62" s="42"/>
      <c r="E62" s="42"/>
      <c r="F62" s="42" t="s">
        <v>171</v>
      </c>
      <c r="G62" s="42" t="s">
        <v>171</v>
      </c>
      <c r="H62" s="37">
        <f>SUBVENCION!M6+SUBVENCION!N6</f>
        <v>10288671</v>
      </c>
      <c r="I62" s="37"/>
      <c r="J62" s="43">
        <f>+J60+H62-I62</f>
        <v>23671576</v>
      </c>
      <c r="L62" s="97" t="s">
        <v>5</v>
      </c>
      <c r="M62" s="97" t="s">
        <v>214</v>
      </c>
      <c r="N62" s="97" t="s">
        <v>212</v>
      </c>
      <c r="O62" s="97" t="s">
        <v>213</v>
      </c>
      <c r="P62" s="97" t="s">
        <v>7</v>
      </c>
    </row>
    <row r="63" spans="2:16">
      <c r="B63" s="41"/>
      <c r="C63" s="42"/>
      <c r="D63" s="42"/>
      <c r="E63" s="42"/>
      <c r="F63" s="42" t="s">
        <v>199</v>
      </c>
      <c r="G63" s="42" t="s">
        <v>199</v>
      </c>
      <c r="H63" s="37"/>
      <c r="I63" s="37">
        <v>10734895</v>
      </c>
      <c r="J63" s="43">
        <f>+J62+H63-I63</f>
        <v>12936681</v>
      </c>
      <c r="L63" s="37">
        <f>+H62</f>
        <v>10288671</v>
      </c>
      <c r="M63" s="51">
        <f>+L63*10%</f>
        <v>1028867.1000000001</v>
      </c>
      <c r="N63" s="51">
        <f>+I63</f>
        <v>10734895</v>
      </c>
      <c r="O63" s="51">
        <f>I64+I65</f>
        <v>28041</v>
      </c>
      <c r="P63" s="187">
        <f>+L63-M63-N63-O63</f>
        <v>-1503132.0999999996</v>
      </c>
    </row>
    <row r="64" spans="2:16">
      <c r="B64" s="41"/>
      <c r="C64" s="42"/>
      <c r="D64" s="42"/>
      <c r="E64" s="42">
        <v>793</v>
      </c>
      <c r="F64" s="55" t="s">
        <v>326</v>
      </c>
      <c r="G64" s="55" t="s">
        <v>326</v>
      </c>
      <c r="H64" s="37"/>
      <c r="I64" s="37">
        <v>28041</v>
      </c>
      <c r="J64" s="43">
        <f t="shared" ref="J64:J65" si="4">+J63+H64-I64</f>
        <v>12908640</v>
      </c>
      <c r="L64" s="155"/>
      <c r="M64" s="156"/>
      <c r="N64" s="156"/>
      <c r="O64" s="156"/>
      <c r="P64" s="157"/>
    </row>
    <row r="65" spans="2:16">
      <c r="B65" s="41"/>
      <c r="C65" s="42"/>
      <c r="D65" s="42"/>
      <c r="E65" s="42"/>
      <c r="F65" s="42"/>
      <c r="G65" s="42"/>
      <c r="H65" s="37"/>
      <c r="I65" s="37"/>
      <c r="J65" s="43">
        <f t="shared" si="4"/>
        <v>12908640</v>
      </c>
    </row>
    <row r="66" spans="2:16">
      <c r="B66" s="341" t="s">
        <v>65</v>
      </c>
      <c r="C66" s="342"/>
      <c r="D66" s="342"/>
      <c r="E66" s="342"/>
      <c r="F66" s="342"/>
      <c r="G66" s="342"/>
      <c r="H66" s="342"/>
      <c r="I66" s="342"/>
      <c r="J66" s="343"/>
    </row>
    <row r="67" spans="2:16">
      <c r="B67" s="41"/>
      <c r="C67" s="42"/>
      <c r="D67" s="42"/>
      <c r="E67" s="42"/>
      <c r="F67" s="42" t="s">
        <v>171</v>
      </c>
      <c r="G67" s="42" t="s">
        <v>171</v>
      </c>
      <c r="H67" s="37">
        <f>+SUBVENCION!O6+SUBVENCION!P6</f>
        <v>13407107</v>
      </c>
      <c r="I67" s="37"/>
      <c r="J67" s="43">
        <f>+J65+H67-I67</f>
        <v>26315747</v>
      </c>
      <c r="L67" s="97" t="s">
        <v>5</v>
      </c>
      <c r="M67" s="97" t="s">
        <v>214</v>
      </c>
      <c r="N67" s="97" t="s">
        <v>212</v>
      </c>
      <c r="O67" s="97" t="s">
        <v>213</v>
      </c>
      <c r="P67" s="97" t="s">
        <v>7</v>
      </c>
    </row>
    <row r="68" spans="2:16">
      <c r="B68" s="41"/>
      <c r="C68" s="42"/>
      <c r="D68" s="42"/>
      <c r="E68" s="42"/>
      <c r="F68" s="42" t="s">
        <v>199</v>
      </c>
      <c r="G68" s="42" t="s">
        <v>199</v>
      </c>
      <c r="H68" s="37"/>
      <c r="I68" s="37">
        <v>11221929</v>
      </c>
      <c r="J68" s="43">
        <f t="shared" ref="J68:J78" si="5">+J67+H68-I68</f>
        <v>15093818</v>
      </c>
      <c r="L68" s="37">
        <f>+H67</f>
        <v>13407107</v>
      </c>
      <c r="M68" s="51">
        <f>+L68*10%</f>
        <v>1340710.7000000002</v>
      </c>
      <c r="N68" s="51">
        <f>+I68</f>
        <v>11221929</v>
      </c>
      <c r="O68" s="51">
        <f>I69+I70+I71+I72+I73+I74+I75+I78+I76+I77</f>
        <v>1928477</v>
      </c>
      <c r="P68" s="187">
        <f>+L68-M68-N68-O68</f>
        <v>-1084009.6999999993</v>
      </c>
    </row>
    <row r="69" spans="2:16">
      <c r="B69" s="41">
        <v>46162</v>
      </c>
      <c r="C69" s="42">
        <v>137</v>
      </c>
      <c r="D69" s="42">
        <v>629</v>
      </c>
      <c r="E69" s="42">
        <v>1027</v>
      </c>
      <c r="F69" s="42" t="s">
        <v>283</v>
      </c>
      <c r="G69" s="45" t="s">
        <v>518</v>
      </c>
      <c r="H69" s="37"/>
      <c r="I69" s="37">
        <v>164220</v>
      </c>
      <c r="J69" s="43">
        <f t="shared" si="5"/>
        <v>14929598</v>
      </c>
    </row>
    <row r="70" spans="2:16">
      <c r="B70" s="41">
        <v>46162</v>
      </c>
      <c r="C70" s="42">
        <v>50</v>
      </c>
      <c r="D70" s="42">
        <v>683</v>
      </c>
      <c r="E70" s="42">
        <v>1212</v>
      </c>
      <c r="F70" s="42" t="s">
        <v>250</v>
      </c>
      <c r="G70" s="45" t="s">
        <v>551</v>
      </c>
      <c r="H70" s="37"/>
      <c r="I70" s="37">
        <v>209100</v>
      </c>
      <c r="J70" s="43">
        <f t="shared" si="5"/>
        <v>14720498</v>
      </c>
    </row>
    <row r="71" spans="2:16">
      <c r="B71" s="41">
        <v>46226</v>
      </c>
      <c r="C71" s="42">
        <v>143</v>
      </c>
      <c r="D71" s="42">
        <v>725</v>
      </c>
      <c r="E71" s="42">
        <v>1198</v>
      </c>
      <c r="F71" s="42" t="s">
        <v>517</v>
      </c>
      <c r="G71" s="42" t="s">
        <v>516</v>
      </c>
      <c r="H71" s="37"/>
      <c r="I71" s="37">
        <v>205630</v>
      </c>
      <c r="J71" s="43">
        <f t="shared" si="5"/>
        <v>14514868</v>
      </c>
    </row>
    <row r="72" spans="2:16">
      <c r="B72" s="41">
        <v>46226</v>
      </c>
      <c r="C72" s="42">
        <v>144</v>
      </c>
      <c r="D72" s="42">
        <v>726</v>
      </c>
      <c r="E72" s="42">
        <v>1199</v>
      </c>
      <c r="F72" s="42" t="s">
        <v>250</v>
      </c>
      <c r="G72" s="42" t="s">
        <v>574</v>
      </c>
      <c r="H72" s="37"/>
      <c r="I72" s="37">
        <v>209750</v>
      </c>
      <c r="J72" s="43">
        <f t="shared" si="5"/>
        <v>14305118</v>
      </c>
    </row>
    <row r="73" spans="2:16">
      <c r="B73" s="41">
        <v>46230</v>
      </c>
      <c r="C73" s="42">
        <v>145</v>
      </c>
      <c r="D73" s="42">
        <v>727</v>
      </c>
      <c r="E73" s="42">
        <v>1196</v>
      </c>
      <c r="F73" s="42" t="s">
        <v>242</v>
      </c>
      <c r="G73" s="42" t="s">
        <v>242</v>
      </c>
      <c r="H73" s="37"/>
      <c r="I73" s="37">
        <v>214290</v>
      </c>
      <c r="J73" s="43">
        <f t="shared" si="5"/>
        <v>14090828</v>
      </c>
    </row>
    <row r="74" spans="2:16">
      <c r="B74" s="41" t="s">
        <v>223</v>
      </c>
      <c r="C74" s="42"/>
      <c r="D74" s="42"/>
      <c r="E74" s="42">
        <v>995</v>
      </c>
      <c r="F74" s="55" t="s">
        <v>326</v>
      </c>
      <c r="G74" s="55" t="s">
        <v>326</v>
      </c>
      <c r="H74" s="37"/>
      <c r="I74" s="37">
        <v>28177</v>
      </c>
      <c r="J74" s="43">
        <f t="shared" si="5"/>
        <v>14062651</v>
      </c>
    </row>
    <row r="75" spans="2:16">
      <c r="B75" s="41">
        <v>46233</v>
      </c>
      <c r="C75" s="42">
        <v>148</v>
      </c>
      <c r="D75" s="42">
        <v>770</v>
      </c>
      <c r="E75" s="42">
        <v>1257</v>
      </c>
      <c r="F75" s="42" t="s">
        <v>278</v>
      </c>
      <c r="G75" s="42" t="s">
        <v>611</v>
      </c>
      <c r="H75" s="37"/>
      <c r="I75" s="37">
        <v>189438</v>
      </c>
      <c r="J75" s="43">
        <f t="shared" si="5"/>
        <v>13873213</v>
      </c>
    </row>
    <row r="76" spans="2:16">
      <c r="B76" s="41">
        <v>46231</v>
      </c>
      <c r="C76" s="42">
        <v>146</v>
      </c>
      <c r="D76" s="42" t="s">
        <v>635</v>
      </c>
      <c r="E76" s="42">
        <v>1298</v>
      </c>
      <c r="F76" s="42" t="s">
        <v>222</v>
      </c>
      <c r="G76" s="42" t="s">
        <v>219</v>
      </c>
      <c r="H76" s="37"/>
      <c r="I76" s="37">
        <v>477000</v>
      </c>
      <c r="J76" s="43">
        <f t="shared" si="5"/>
        <v>13396213</v>
      </c>
    </row>
    <row r="77" spans="2:16">
      <c r="B77" s="41">
        <v>46231</v>
      </c>
      <c r="C77" s="42">
        <v>147</v>
      </c>
      <c r="D77" s="42" t="s">
        <v>636</v>
      </c>
      <c r="E77" s="42">
        <v>1298</v>
      </c>
      <c r="F77" s="42" t="s">
        <v>637</v>
      </c>
      <c r="G77" s="42" t="s">
        <v>637</v>
      </c>
      <c r="H77" s="37"/>
      <c r="I77" s="37">
        <v>230872</v>
      </c>
      <c r="J77" s="43">
        <f t="shared" si="5"/>
        <v>13165341</v>
      </c>
    </row>
    <row r="78" spans="2:16">
      <c r="B78" s="41"/>
      <c r="C78" s="42"/>
      <c r="D78" s="42"/>
      <c r="E78" s="42"/>
      <c r="F78" s="42"/>
      <c r="G78" s="42"/>
      <c r="H78" s="37"/>
      <c r="I78" s="37"/>
      <c r="J78" s="43">
        <f t="shared" si="5"/>
        <v>13165341</v>
      </c>
    </row>
    <row r="79" spans="2:16">
      <c r="B79" s="320" t="s">
        <v>130</v>
      </c>
      <c r="C79" s="321"/>
      <c r="D79" s="321"/>
      <c r="E79" s="321"/>
      <c r="F79" s="321"/>
      <c r="G79" s="321"/>
      <c r="H79" s="321"/>
      <c r="I79" s="321"/>
      <c r="J79" s="322"/>
    </row>
    <row r="80" spans="2:16">
      <c r="B80" s="41"/>
      <c r="C80" s="42"/>
      <c r="D80" s="42"/>
      <c r="E80" s="42"/>
      <c r="F80" s="42" t="s">
        <v>171</v>
      </c>
      <c r="G80" s="42" t="s">
        <v>171</v>
      </c>
      <c r="H80" s="37">
        <f>+SUBVENCION!Q6+SUBVENCION!R6</f>
        <v>13398689</v>
      </c>
      <c r="I80" s="37"/>
      <c r="J80" s="43">
        <f>+J78+H80-I80</f>
        <v>26564030</v>
      </c>
      <c r="L80" s="97" t="s">
        <v>5</v>
      </c>
      <c r="M80" s="97" t="s">
        <v>214</v>
      </c>
      <c r="N80" s="97" t="s">
        <v>212</v>
      </c>
      <c r="O80" s="97" t="s">
        <v>213</v>
      </c>
      <c r="P80" s="97" t="s">
        <v>7</v>
      </c>
    </row>
    <row r="81" spans="2:16">
      <c r="B81" s="41"/>
      <c r="C81" s="42"/>
      <c r="D81" s="42"/>
      <c r="E81" s="42"/>
      <c r="F81" s="42" t="s">
        <v>199</v>
      </c>
      <c r="G81" s="42" t="s">
        <v>199</v>
      </c>
      <c r="H81" s="37"/>
      <c r="I81" s="37">
        <v>11784182</v>
      </c>
      <c r="J81" s="43">
        <f>+J80+H81-I81</f>
        <v>14779848</v>
      </c>
      <c r="L81" s="37">
        <f>+H80</f>
        <v>13398689</v>
      </c>
      <c r="M81" s="51">
        <f>+L81*10%</f>
        <v>1339868.9000000001</v>
      </c>
      <c r="N81" s="51">
        <f>+I81</f>
        <v>11784182</v>
      </c>
      <c r="O81" s="51">
        <f>+I83+I84+I85+I86+I87+I88+I89+I93+I90+I91+I82</f>
        <v>1735057</v>
      </c>
      <c r="P81" s="187">
        <f>+L81-M81-N81-O81</f>
        <v>-1460418.9000000004</v>
      </c>
    </row>
    <row r="82" spans="2:16">
      <c r="B82" s="41"/>
      <c r="C82" s="42"/>
      <c r="D82" s="42"/>
      <c r="E82" s="42">
        <v>1324</v>
      </c>
      <c r="F82" s="55" t="s">
        <v>326</v>
      </c>
      <c r="G82" s="55" t="s">
        <v>326</v>
      </c>
      <c r="H82" s="37"/>
      <c r="I82" s="37">
        <v>28191</v>
      </c>
      <c r="J82" s="43">
        <f t="shared" ref="J82:J93" si="6">+J81+H82-I82</f>
        <v>14751657</v>
      </c>
      <c r="L82" s="155"/>
      <c r="M82" s="156"/>
      <c r="N82" s="156"/>
      <c r="O82" s="156"/>
      <c r="P82" s="157"/>
    </row>
    <row r="83" spans="2:16">
      <c r="B83" s="41">
        <v>46239</v>
      </c>
      <c r="C83" s="42">
        <v>149</v>
      </c>
      <c r="D83" s="42">
        <v>771</v>
      </c>
      <c r="E83" s="42">
        <v>1256</v>
      </c>
      <c r="F83" s="42" t="s">
        <v>517</v>
      </c>
      <c r="G83" s="45" t="s">
        <v>516</v>
      </c>
      <c r="H83" s="37"/>
      <c r="I83" s="37">
        <v>213300</v>
      </c>
      <c r="J83" s="43">
        <f t="shared" si="6"/>
        <v>14538357</v>
      </c>
    </row>
    <row r="84" spans="2:16">
      <c r="B84" s="41">
        <v>46245</v>
      </c>
      <c r="C84" s="42">
        <v>150</v>
      </c>
      <c r="D84" s="42">
        <v>787</v>
      </c>
      <c r="E84" s="42">
        <v>1291</v>
      </c>
      <c r="F84" s="42" t="s">
        <v>242</v>
      </c>
      <c r="G84" s="45" t="s">
        <v>242</v>
      </c>
      <c r="H84" s="37"/>
      <c r="I84" s="37">
        <v>84700</v>
      </c>
      <c r="J84" s="43">
        <f t="shared" si="6"/>
        <v>14453657</v>
      </c>
    </row>
    <row r="85" spans="2:16">
      <c r="B85" s="41">
        <v>46245</v>
      </c>
      <c r="C85" s="42">
        <v>151</v>
      </c>
      <c r="D85" s="42">
        <v>788</v>
      </c>
      <c r="E85" s="42">
        <v>1318</v>
      </c>
      <c r="F85" s="42" t="s">
        <v>250</v>
      </c>
      <c r="G85" s="45" t="s">
        <v>631</v>
      </c>
      <c r="H85" s="37"/>
      <c r="I85" s="37">
        <v>207919</v>
      </c>
      <c r="J85" s="43">
        <f t="shared" si="6"/>
        <v>14245738</v>
      </c>
    </row>
    <row r="86" spans="2:16">
      <c r="B86" s="41">
        <v>46245</v>
      </c>
      <c r="C86" s="42">
        <v>152</v>
      </c>
      <c r="D86" s="42">
        <v>789</v>
      </c>
      <c r="E86" s="42">
        <v>1293</v>
      </c>
      <c r="F86" s="42" t="s">
        <v>242</v>
      </c>
      <c r="G86" s="45" t="s">
        <v>242</v>
      </c>
      <c r="H86" s="37"/>
      <c r="I86" s="37">
        <v>214000</v>
      </c>
      <c r="J86" s="43">
        <f t="shared" si="6"/>
        <v>14031738</v>
      </c>
    </row>
    <row r="87" spans="2:16">
      <c r="B87" s="41">
        <v>46255</v>
      </c>
      <c r="C87" s="42">
        <v>157</v>
      </c>
      <c r="D87" s="42">
        <v>851</v>
      </c>
      <c r="E87" s="42">
        <v>1413</v>
      </c>
      <c r="F87" s="42" t="s">
        <v>250</v>
      </c>
      <c r="G87" s="45" t="s">
        <v>516</v>
      </c>
      <c r="H87" s="37"/>
      <c r="I87" s="37">
        <v>213619</v>
      </c>
      <c r="J87" s="43">
        <f t="shared" si="6"/>
        <v>13818119</v>
      </c>
    </row>
    <row r="88" spans="2:16">
      <c r="B88" s="41">
        <v>46255</v>
      </c>
      <c r="C88" s="42">
        <v>156</v>
      </c>
      <c r="D88" s="42">
        <v>854</v>
      </c>
      <c r="E88" s="42">
        <v>1436</v>
      </c>
      <c r="F88" s="42" t="s">
        <v>242</v>
      </c>
      <c r="G88" s="45" t="s">
        <v>242</v>
      </c>
      <c r="H88" s="37"/>
      <c r="I88" s="37">
        <v>214500</v>
      </c>
      <c r="J88" s="43">
        <f t="shared" si="6"/>
        <v>13603619</v>
      </c>
    </row>
    <row r="89" spans="2:16">
      <c r="B89" s="41">
        <v>46255</v>
      </c>
      <c r="C89" s="42">
        <v>155</v>
      </c>
      <c r="D89" s="42">
        <v>852</v>
      </c>
      <c r="E89" s="42">
        <v>1415</v>
      </c>
      <c r="F89" s="42" t="s">
        <v>278</v>
      </c>
      <c r="G89" s="45" t="s">
        <v>271</v>
      </c>
      <c r="H89" s="37"/>
      <c r="I89" s="37">
        <v>128970</v>
      </c>
      <c r="J89" s="43">
        <f t="shared" si="6"/>
        <v>13474649</v>
      </c>
    </row>
    <row r="90" spans="2:16">
      <c r="B90" s="41">
        <v>46261</v>
      </c>
      <c r="C90" s="42">
        <v>161</v>
      </c>
      <c r="D90" s="42">
        <v>887</v>
      </c>
      <c r="E90" s="42"/>
      <c r="F90" s="42" t="s">
        <v>250</v>
      </c>
      <c r="G90" s="45" t="s">
        <v>687</v>
      </c>
      <c r="H90" s="37"/>
      <c r="I90" s="37">
        <v>214944</v>
      </c>
      <c r="J90" s="43">
        <f t="shared" si="6"/>
        <v>13259705</v>
      </c>
    </row>
    <row r="91" spans="2:16">
      <c r="B91" s="41">
        <v>46261</v>
      </c>
      <c r="C91" s="42">
        <v>162</v>
      </c>
      <c r="D91" s="42">
        <v>888</v>
      </c>
      <c r="E91" s="42"/>
      <c r="F91" s="42" t="s">
        <v>250</v>
      </c>
      <c r="G91" s="45" t="s">
        <v>688</v>
      </c>
      <c r="H91" s="37"/>
      <c r="I91" s="37">
        <v>214914</v>
      </c>
      <c r="J91" s="43">
        <f t="shared" si="6"/>
        <v>13044791</v>
      </c>
    </row>
    <row r="92" spans="2:16">
      <c r="B92" s="41"/>
      <c r="C92" s="42"/>
      <c r="D92" s="42"/>
      <c r="E92" s="42"/>
      <c r="F92" s="42"/>
      <c r="G92" s="45"/>
      <c r="H92" s="37"/>
      <c r="I92" s="37"/>
      <c r="J92" s="43">
        <f t="shared" si="6"/>
        <v>13044791</v>
      </c>
    </row>
    <row r="93" spans="2:16">
      <c r="B93" s="41"/>
      <c r="C93" s="42"/>
      <c r="D93" s="42"/>
      <c r="E93" s="42"/>
      <c r="F93" s="42"/>
      <c r="G93" s="45"/>
      <c r="H93" s="37"/>
      <c r="I93" s="37"/>
      <c r="J93" s="43">
        <f t="shared" si="6"/>
        <v>13044791</v>
      </c>
    </row>
    <row r="94" spans="2:16">
      <c r="B94" s="170"/>
      <c r="C94" s="171"/>
      <c r="D94" s="171"/>
      <c r="E94" s="171"/>
      <c r="F94" s="171"/>
      <c r="G94" s="188"/>
      <c r="H94" s="172"/>
      <c r="I94" s="172"/>
      <c r="J94" s="173"/>
    </row>
    <row r="95" spans="2:16">
      <c r="B95" s="320" t="s">
        <v>131</v>
      </c>
      <c r="C95" s="321"/>
      <c r="D95" s="321"/>
      <c r="E95" s="321"/>
      <c r="F95" s="321"/>
      <c r="G95" s="321"/>
      <c r="H95" s="321"/>
      <c r="I95" s="321"/>
      <c r="J95" s="322"/>
    </row>
    <row r="96" spans="2:16">
      <c r="B96" s="41"/>
      <c r="C96" s="42"/>
      <c r="D96" s="42"/>
      <c r="E96" s="42"/>
      <c r="F96" s="42" t="s">
        <v>171</v>
      </c>
      <c r="G96" s="42" t="s">
        <v>171</v>
      </c>
      <c r="H96" s="37">
        <f>+SUBVENCION!S6+SUBVENCION!T6</f>
        <v>13416052</v>
      </c>
      <c r="I96" s="37"/>
      <c r="J96" s="43">
        <f>+J93+H96-I96</f>
        <v>26460843</v>
      </c>
      <c r="L96" s="97" t="s">
        <v>5</v>
      </c>
      <c r="M96" s="97" t="s">
        <v>214</v>
      </c>
      <c r="N96" s="97" t="s">
        <v>212</v>
      </c>
      <c r="O96" s="97" t="s">
        <v>213</v>
      </c>
      <c r="P96" s="97" t="s">
        <v>7</v>
      </c>
    </row>
    <row r="97" spans="1:23">
      <c r="B97" s="41"/>
      <c r="C97" s="42"/>
      <c r="D97" s="42"/>
      <c r="E97" s="42"/>
      <c r="F97" s="42" t="s">
        <v>199</v>
      </c>
      <c r="G97" s="42" t="s">
        <v>199</v>
      </c>
      <c r="H97" s="37"/>
      <c r="I97" s="37">
        <v>11336045</v>
      </c>
      <c r="J97" s="43">
        <f>+J96+H97-I97</f>
        <v>15124798</v>
      </c>
      <c r="L97" s="37">
        <f>+H96</f>
        <v>13416052</v>
      </c>
      <c r="M97" s="51">
        <f>+L97*10%</f>
        <v>1341605.2000000002</v>
      </c>
      <c r="N97" s="51">
        <f>+I97</f>
        <v>11336045</v>
      </c>
      <c r="O97" s="51">
        <f>I98+I99+I100+I101+I102+I103+I104+I105+I106+I107</f>
        <v>1337828</v>
      </c>
      <c r="P97" s="187">
        <f>+L97-M97-N97-O97</f>
        <v>-599426.19999999925</v>
      </c>
    </row>
    <row r="98" spans="1:23">
      <c r="B98" s="41">
        <v>46268</v>
      </c>
      <c r="C98" s="42">
        <v>165</v>
      </c>
      <c r="D98" s="42">
        <v>930</v>
      </c>
      <c r="E98" s="42"/>
      <c r="F98" s="42" t="s">
        <v>250</v>
      </c>
      <c r="G98" s="45" t="s">
        <v>719</v>
      </c>
      <c r="H98" s="37"/>
      <c r="I98" s="37">
        <v>214063</v>
      </c>
      <c r="J98" s="43">
        <f t="shared" ref="J98:J107" si="7">+J97+H98-I98</f>
        <v>14910735</v>
      </c>
    </row>
    <row r="99" spans="1:23">
      <c r="B99" s="41">
        <v>46268</v>
      </c>
      <c r="C99" s="42">
        <v>164</v>
      </c>
      <c r="D99" s="42">
        <v>929</v>
      </c>
      <c r="E99" s="42"/>
      <c r="F99" s="42" t="s">
        <v>539</v>
      </c>
      <c r="G99" s="45" t="s">
        <v>539</v>
      </c>
      <c r="H99" s="37"/>
      <c r="I99" s="37">
        <v>209410</v>
      </c>
      <c r="J99" s="43">
        <f t="shared" si="7"/>
        <v>14701325</v>
      </c>
    </row>
    <row r="100" spans="1:23">
      <c r="B100" s="41">
        <v>46268</v>
      </c>
      <c r="C100" s="42">
        <v>167</v>
      </c>
      <c r="D100" s="42">
        <v>931</v>
      </c>
      <c r="E100" s="79" t="s">
        <v>701</v>
      </c>
      <c r="F100" s="42" t="s">
        <v>507</v>
      </c>
      <c r="G100" s="45" t="s">
        <v>735</v>
      </c>
      <c r="H100" s="37"/>
      <c r="I100" s="37">
        <v>212500</v>
      </c>
      <c r="J100" s="43">
        <f t="shared" si="7"/>
        <v>14488825</v>
      </c>
    </row>
    <row r="101" spans="1:23">
      <c r="B101" s="41">
        <v>46275</v>
      </c>
      <c r="C101" s="42">
        <v>168</v>
      </c>
      <c r="D101" s="42">
        <v>970</v>
      </c>
      <c r="E101" s="79"/>
      <c r="F101" s="45" t="s">
        <v>250</v>
      </c>
      <c r="G101" s="42" t="s">
        <v>516</v>
      </c>
      <c r="H101" s="37"/>
      <c r="I101" s="37">
        <v>214500</v>
      </c>
      <c r="J101" s="43">
        <f t="shared" si="7"/>
        <v>14274325</v>
      </c>
    </row>
    <row r="102" spans="1:23">
      <c r="B102" s="41">
        <v>46279</v>
      </c>
      <c r="C102" s="42">
        <v>169</v>
      </c>
      <c r="D102" s="42">
        <v>976</v>
      </c>
      <c r="E102" s="79"/>
      <c r="F102" s="45" t="s">
        <v>754</v>
      </c>
      <c r="G102" s="42" t="s">
        <v>755</v>
      </c>
      <c r="H102" s="37"/>
      <c r="I102" s="37">
        <v>214536</v>
      </c>
      <c r="J102" s="43">
        <f t="shared" si="7"/>
        <v>14059789</v>
      </c>
    </row>
    <row r="103" spans="1:23">
      <c r="B103" s="41">
        <v>46293</v>
      </c>
      <c r="C103" s="42">
        <v>172</v>
      </c>
      <c r="D103" s="42">
        <v>1034</v>
      </c>
      <c r="E103" s="79"/>
      <c r="F103" s="42" t="s">
        <v>507</v>
      </c>
      <c r="G103" s="45" t="s">
        <v>507</v>
      </c>
      <c r="H103" s="37"/>
      <c r="I103" s="37">
        <v>134946</v>
      </c>
      <c r="J103" s="43">
        <f t="shared" si="7"/>
        <v>13924843</v>
      </c>
    </row>
    <row r="104" spans="1:23">
      <c r="B104" s="41">
        <v>46293</v>
      </c>
      <c r="C104" s="42">
        <v>173</v>
      </c>
      <c r="D104" s="42">
        <v>1035</v>
      </c>
      <c r="E104" s="79"/>
      <c r="F104" s="42" t="s">
        <v>482</v>
      </c>
      <c r="G104" s="45" t="s">
        <v>483</v>
      </c>
      <c r="H104" s="37"/>
      <c r="I104" s="37">
        <v>137873</v>
      </c>
      <c r="J104" s="43">
        <f t="shared" si="7"/>
        <v>13786970</v>
      </c>
    </row>
    <row r="105" spans="1:23">
      <c r="B105" s="41"/>
      <c r="C105" s="42"/>
      <c r="D105" s="42"/>
      <c r="E105" s="42"/>
      <c r="F105" s="42"/>
      <c r="G105" s="45"/>
      <c r="H105" s="37"/>
      <c r="I105" s="37"/>
      <c r="J105" s="43">
        <f t="shared" si="7"/>
        <v>13786970</v>
      </c>
    </row>
    <row r="106" spans="1:23">
      <c r="B106" s="41"/>
      <c r="C106" s="42"/>
      <c r="D106" s="42"/>
      <c r="E106" s="42"/>
      <c r="F106" s="42"/>
      <c r="G106" s="45"/>
      <c r="H106" s="37"/>
      <c r="I106" s="37"/>
      <c r="J106" s="43">
        <f t="shared" si="7"/>
        <v>13786970</v>
      </c>
    </row>
    <row r="107" spans="1:23">
      <c r="B107" s="41"/>
      <c r="C107" s="42"/>
      <c r="D107" s="42"/>
      <c r="E107" s="42"/>
      <c r="F107" s="42"/>
      <c r="G107" s="45"/>
      <c r="H107" s="37"/>
      <c r="I107" s="37"/>
      <c r="J107" s="43">
        <f t="shared" si="7"/>
        <v>13786970</v>
      </c>
    </row>
    <row r="108" spans="1:23">
      <c r="B108" s="320" t="s">
        <v>132</v>
      </c>
      <c r="C108" s="321"/>
      <c r="D108" s="321"/>
      <c r="E108" s="321"/>
      <c r="F108" s="321"/>
      <c r="G108" s="321"/>
      <c r="H108" s="321"/>
      <c r="I108" s="321"/>
      <c r="J108" s="322"/>
    </row>
    <row r="109" spans="1:23">
      <c r="B109" s="41"/>
      <c r="C109" s="42"/>
      <c r="D109" s="42"/>
      <c r="E109" s="42"/>
      <c r="F109" s="42" t="s">
        <v>171</v>
      </c>
      <c r="G109" s="42" t="s">
        <v>171</v>
      </c>
      <c r="H109" s="37">
        <f>+SUBVENCION!U6+SUBVENCION!V6</f>
        <v>0</v>
      </c>
      <c r="I109" s="37"/>
      <c r="J109" s="43">
        <f>+J107+H109-I109</f>
        <v>13786970</v>
      </c>
      <c r="L109" s="97" t="s">
        <v>5</v>
      </c>
      <c r="M109" s="97" t="s">
        <v>214</v>
      </c>
      <c r="N109" s="97" t="s">
        <v>212</v>
      </c>
      <c r="O109" s="97" t="s">
        <v>213</v>
      </c>
      <c r="P109" s="97" t="s">
        <v>7</v>
      </c>
    </row>
    <row r="110" spans="1:23">
      <c r="B110" s="41"/>
      <c r="C110" s="42"/>
      <c r="D110" s="42"/>
      <c r="E110" s="42"/>
      <c r="F110" s="42" t="s">
        <v>199</v>
      </c>
      <c r="G110" s="42" t="s">
        <v>199</v>
      </c>
      <c r="H110" s="37"/>
      <c r="I110" s="37"/>
      <c r="J110" s="43">
        <f t="shared" ref="J110:J127" si="8">+J109+H110-I110</f>
        <v>13786970</v>
      </c>
      <c r="L110" s="37">
        <f>+H109</f>
        <v>0</v>
      </c>
      <c r="M110" s="51">
        <f>+L110*10%</f>
        <v>0</v>
      </c>
      <c r="N110" s="51">
        <f>+I110</f>
        <v>0</v>
      </c>
      <c r="O110" s="51">
        <f>I111+I112+I113+I114+I115+I116+I117+I118</f>
        <v>0</v>
      </c>
      <c r="P110" s="153">
        <f>+L110-M110-N110-O110</f>
        <v>0</v>
      </c>
    </row>
    <row r="111" spans="1:23">
      <c r="A111" s="35"/>
      <c r="B111" s="41"/>
      <c r="C111" s="42"/>
      <c r="D111" s="42"/>
      <c r="E111" s="42"/>
      <c r="F111" s="42"/>
      <c r="G111" s="45"/>
      <c r="H111" s="37"/>
      <c r="I111" s="37"/>
      <c r="J111" s="43">
        <f t="shared" si="8"/>
        <v>13786970</v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</row>
    <row r="112" spans="1:23">
      <c r="A112" s="35"/>
      <c r="B112" s="41"/>
      <c r="C112" s="42"/>
      <c r="D112" s="42"/>
      <c r="E112" s="42"/>
      <c r="F112" s="42"/>
      <c r="G112" s="45"/>
      <c r="H112" s="37"/>
      <c r="I112" s="37"/>
      <c r="J112" s="43">
        <f t="shared" si="8"/>
        <v>13786970</v>
      </c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</row>
    <row r="113" spans="1:23">
      <c r="A113" s="35"/>
      <c r="B113" s="41"/>
      <c r="C113" s="42"/>
      <c r="D113" s="42"/>
      <c r="E113" s="42"/>
      <c r="F113" s="42"/>
      <c r="G113" s="42"/>
      <c r="H113" s="37"/>
      <c r="I113" s="37"/>
      <c r="J113" s="43">
        <f t="shared" si="8"/>
        <v>13786970</v>
      </c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</row>
    <row r="114" spans="1:23">
      <c r="A114" s="35"/>
      <c r="B114" s="41"/>
      <c r="C114" s="42"/>
      <c r="D114" s="42"/>
      <c r="E114" s="42"/>
      <c r="F114" s="42"/>
      <c r="G114" s="45"/>
      <c r="H114" s="37"/>
      <c r="I114" s="37"/>
      <c r="J114" s="43">
        <f t="shared" si="8"/>
        <v>13786970</v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</row>
    <row r="115" spans="1:23">
      <c r="A115" s="35"/>
      <c r="B115" s="312"/>
      <c r="C115" s="262"/>
      <c r="D115" s="262"/>
      <c r="E115" s="262"/>
      <c r="F115" s="127"/>
      <c r="G115" s="127"/>
      <c r="H115" s="127"/>
      <c r="I115" s="298"/>
      <c r="J115" s="43">
        <f t="shared" si="8"/>
        <v>13786970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</row>
    <row r="116" spans="1:23">
      <c r="A116" s="35"/>
      <c r="B116" s="41"/>
      <c r="C116" s="42"/>
      <c r="D116" s="42"/>
      <c r="E116" s="42"/>
      <c r="F116" s="42"/>
      <c r="G116" s="45"/>
      <c r="H116" s="37"/>
      <c r="I116" s="37"/>
      <c r="J116" s="43">
        <f t="shared" si="8"/>
        <v>13786970</v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</row>
    <row r="117" spans="1:23">
      <c r="A117" s="35"/>
      <c r="B117" s="41"/>
      <c r="C117" s="42"/>
      <c r="D117" s="42"/>
      <c r="E117" s="42"/>
      <c r="F117" s="42"/>
      <c r="G117" s="45"/>
      <c r="H117" s="37"/>
      <c r="I117" s="37"/>
      <c r="J117" s="43">
        <f t="shared" si="8"/>
        <v>13786970</v>
      </c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</row>
    <row r="118" spans="1:23">
      <c r="A118" s="35"/>
      <c r="B118" s="41"/>
      <c r="C118" s="42"/>
      <c r="D118" s="42"/>
      <c r="E118" s="42"/>
      <c r="F118" s="45"/>
      <c r="G118" s="45"/>
      <c r="H118" s="37"/>
      <c r="I118" s="37"/>
      <c r="J118" s="43">
        <f t="shared" si="8"/>
        <v>13786970</v>
      </c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</row>
    <row r="119" spans="1:23">
      <c r="A119" s="35"/>
      <c r="B119" s="320" t="s">
        <v>133</v>
      </c>
      <c r="C119" s="321"/>
      <c r="D119" s="321"/>
      <c r="E119" s="321"/>
      <c r="F119" s="321"/>
      <c r="G119" s="321"/>
      <c r="H119" s="321"/>
      <c r="I119" s="321"/>
      <c r="J119" s="322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</row>
    <row r="120" spans="1:23">
      <c r="A120" s="35"/>
      <c r="B120" s="41"/>
      <c r="C120" s="42"/>
      <c r="D120" s="42"/>
      <c r="E120" s="42"/>
      <c r="F120" s="42" t="s">
        <v>171</v>
      </c>
      <c r="G120" s="42" t="s">
        <v>171</v>
      </c>
      <c r="H120" s="37">
        <f>+SUBVENCION!W6+SUBVENCION!X6</f>
        <v>0</v>
      </c>
      <c r="I120" s="37"/>
      <c r="J120" s="43">
        <f>+J118+H120-I120</f>
        <v>13786970</v>
      </c>
      <c r="K120" s="35"/>
      <c r="L120" s="97" t="s">
        <v>5</v>
      </c>
      <c r="M120" s="97" t="s">
        <v>214</v>
      </c>
      <c r="N120" s="97" t="s">
        <v>212</v>
      </c>
      <c r="O120" s="97" t="s">
        <v>213</v>
      </c>
      <c r="P120" s="97" t="s">
        <v>7</v>
      </c>
      <c r="Q120" s="35"/>
      <c r="R120" s="35"/>
      <c r="S120" s="35"/>
      <c r="T120" s="35"/>
      <c r="U120" s="35"/>
      <c r="V120" s="35"/>
      <c r="W120" s="35"/>
    </row>
    <row r="121" spans="1:23">
      <c r="A121" s="35"/>
      <c r="B121" s="41"/>
      <c r="C121" s="42"/>
      <c r="D121" s="42"/>
      <c r="E121" s="42"/>
      <c r="F121" s="42" t="s">
        <v>199</v>
      </c>
      <c r="G121" s="42" t="s">
        <v>199</v>
      </c>
      <c r="H121" s="37"/>
      <c r="I121" s="37"/>
      <c r="J121" s="43">
        <f t="shared" si="8"/>
        <v>13786970</v>
      </c>
      <c r="K121" s="35"/>
      <c r="L121" s="37">
        <f>+H120</f>
        <v>0</v>
      </c>
      <c r="M121" s="51">
        <f>+L121*10%</f>
        <v>0</v>
      </c>
      <c r="N121" s="51">
        <f>+I121</f>
        <v>0</v>
      </c>
      <c r="O121" s="51">
        <v>0</v>
      </c>
      <c r="P121" s="153">
        <f>+L121-M121-N121-O121</f>
        <v>0</v>
      </c>
      <c r="Q121" s="35"/>
      <c r="R121" s="35"/>
      <c r="S121" s="35"/>
      <c r="T121" s="35"/>
      <c r="U121" s="35"/>
      <c r="V121" s="35"/>
      <c r="W121" s="35"/>
    </row>
    <row r="122" spans="1:23">
      <c r="A122" s="35"/>
      <c r="B122" s="41"/>
      <c r="C122" s="42"/>
      <c r="D122" s="42"/>
      <c r="E122" s="42"/>
      <c r="F122" s="42"/>
      <c r="G122" s="45"/>
      <c r="H122" s="37"/>
      <c r="I122" s="37"/>
      <c r="J122" s="43">
        <f t="shared" si="8"/>
        <v>13786970</v>
      </c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</row>
    <row r="123" spans="1:23">
      <c r="A123" s="35"/>
      <c r="B123" s="41"/>
      <c r="C123" s="42"/>
      <c r="D123" s="42"/>
      <c r="E123" s="42"/>
      <c r="F123" s="42"/>
      <c r="G123" s="45"/>
      <c r="H123" s="37"/>
      <c r="I123" s="37"/>
      <c r="J123" s="43">
        <f t="shared" si="8"/>
        <v>13786970</v>
      </c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</row>
    <row r="124" spans="1:23">
      <c r="A124" s="35"/>
      <c r="B124" s="41"/>
      <c r="C124" s="42"/>
      <c r="D124" s="42"/>
      <c r="E124" s="42"/>
      <c r="F124" s="42"/>
      <c r="G124" s="45"/>
      <c r="H124" s="37"/>
      <c r="I124" s="37"/>
      <c r="J124" s="43">
        <f t="shared" si="8"/>
        <v>13786970</v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</row>
    <row r="125" spans="1:23">
      <c r="A125" s="35"/>
      <c r="B125" s="210"/>
      <c r="C125" s="151"/>
      <c r="D125" s="151"/>
      <c r="E125" s="151"/>
      <c r="F125" s="179"/>
      <c r="G125" s="151"/>
      <c r="H125" s="113"/>
      <c r="I125" s="113"/>
      <c r="J125" s="43">
        <f t="shared" si="8"/>
        <v>13786970</v>
      </c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</row>
    <row r="126" spans="1:23">
      <c r="A126" s="35"/>
      <c r="B126" s="41"/>
      <c r="C126" s="42"/>
      <c r="D126" s="42"/>
      <c r="E126" s="42"/>
      <c r="F126" s="42"/>
      <c r="G126" s="45"/>
      <c r="H126" s="37"/>
      <c r="I126" s="37"/>
      <c r="J126" s="43">
        <f t="shared" si="8"/>
        <v>13786970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</row>
    <row r="127" spans="1:23">
      <c r="A127" s="35"/>
      <c r="B127" s="41"/>
      <c r="C127" s="42"/>
      <c r="D127" s="42"/>
      <c r="E127" s="42"/>
      <c r="F127" s="45"/>
      <c r="G127" s="42"/>
      <c r="H127" s="37"/>
      <c r="I127" s="37"/>
      <c r="J127" s="43">
        <f t="shared" si="8"/>
        <v>13786970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</row>
    <row r="128" spans="1:23">
      <c r="A128" s="35"/>
      <c r="B128" s="320" t="s">
        <v>134</v>
      </c>
      <c r="C128" s="321"/>
      <c r="D128" s="321"/>
      <c r="E128" s="321"/>
      <c r="F128" s="321"/>
      <c r="G128" s="321"/>
      <c r="H128" s="321"/>
      <c r="I128" s="321"/>
      <c r="J128" s="322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</row>
    <row r="129" spans="1:23" s="87" customFormat="1">
      <c r="A129" s="85"/>
      <c r="B129" s="41"/>
      <c r="C129" s="42"/>
      <c r="D129" s="42"/>
      <c r="E129" s="42"/>
      <c r="F129" s="42" t="s">
        <v>171</v>
      </c>
      <c r="G129" s="42" t="s">
        <v>171</v>
      </c>
      <c r="H129" s="37">
        <f>+SUBVENCION!Y6+SUBVENCION!Z6</f>
        <v>0</v>
      </c>
      <c r="I129" s="64"/>
      <c r="J129" s="64">
        <f>+J127+H129-I129</f>
        <v>13786970</v>
      </c>
      <c r="K129" s="85"/>
      <c r="L129" s="97" t="s">
        <v>5</v>
      </c>
      <c r="M129" s="97" t="s">
        <v>214</v>
      </c>
      <c r="N129" s="97" t="s">
        <v>212</v>
      </c>
      <c r="O129" s="97" t="s">
        <v>213</v>
      </c>
      <c r="P129" s="97" t="s">
        <v>7</v>
      </c>
      <c r="Q129" s="85"/>
      <c r="R129" s="85"/>
      <c r="S129" s="85"/>
      <c r="T129" s="85"/>
      <c r="U129" s="85"/>
      <c r="V129" s="85"/>
      <c r="W129" s="85"/>
    </row>
    <row r="130" spans="1:23">
      <c r="A130" s="35"/>
      <c r="B130" s="46"/>
      <c r="C130" s="46"/>
      <c r="D130" s="46"/>
      <c r="E130" s="42"/>
      <c r="F130" s="42" t="s">
        <v>199</v>
      </c>
      <c r="G130" s="42" t="s">
        <v>199</v>
      </c>
      <c r="H130" s="37"/>
      <c r="I130" s="61"/>
      <c r="J130" s="43">
        <f>+J129+H130-I130</f>
        <v>13786970</v>
      </c>
      <c r="K130" s="35"/>
      <c r="L130" s="37">
        <f>+H129</f>
        <v>0</v>
      </c>
      <c r="M130" s="51">
        <f>+L130*10%</f>
        <v>0</v>
      </c>
      <c r="N130" s="51">
        <f>+I130</f>
        <v>0</v>
      </c>
      <c r="O130" s="51">
        <f>I131+I132+I133</f>
        <v>0</v>
      </c>
      <c r="P130" s="153">
        <f>+L130-M130-N130-O130</f>
        <v>0</v>
      </c>
      <c r="Q130" s="35"/>
      <c r="R130" s="35"/>
      <c r="S130" s="35"/>
      <c r="T130" s="35"/>
      <c r="U130" s="35"/>
      <c r="V130" s="35"/>
      <c r="W130" s="35"/>
    </row>
    <row r="131" spans="1:23">
      <c r="A131" s="35"/>
      <c r="B131" s="41"/>
      <c r="C131" s="42"/>
      <c r="D131" s="42"/>
      <c r="E131" s="42"/>
      <c r="F131" s="42"/>
      <c r="G131" s="42"/>
      <c r="H131" s="37"/>
      <c r="I131" s="37"/>
      <c r="J131" s="43">
        <f t="shared" ref="J131:J134" si="9">+J130+H131-I131</f>
        <v>13786970</v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</row>
    <row r="132" spans="1:23">
      <c r="A132" s="35"/>
      <c r="B132" s="41"/>
      <c r="C132" s="183"/>
      <c r="D132" s="183"/>
      <c r="E132" s="42"/>
      <c r="F132" s="42"/>
      <c r="G132" s="42"/>
      <c r="H132" s="46"/>
      <c r="I132" s="64"/>
      <c r="J132" s="43">
        <f t="shared" si="9"/>
        <v>13786970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</row>
    <row r="133" spans="1:23">
      <c r="A133" s="35"/>
      <c r="B133" s="41"/>
      <c r="C133" s="42"/>
      <c r="D133" s="42"/>
      <c r="E133" s="42"/>
      <c r="F133" s="42"/>
      <c r="G133" s="42"/>
      <c r="H133" s="37"/>
      <c r="I133" s="64"/>
      <c r="J133" s="43">
        <f t="shared" si="9"/>
        <v>13786970</v>
      </c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</row>
    <row r="134" spans="1:23">
      <c r="A134" s="35"/>
      <c r="B134" s="41"/>
      <c r="C134" s="42"/>
      <c r="D134" s="42"/>
      <c r="E134" s="42"/>
      <c r="F134" s="42" t="s">
        <v>201</v>
      </c>
      <c r="G134" s="42" t="s">
        <v>135</v>
      </c>
      <c r="H134" s="37">
        <f>(H11+H16+H22+H37+H53+H62+H67+H80+H96+H109+H120+H129)*-10%</f>
        <v>-12120214.800000001</v>
      </c>
      <c r="I134" s="37"/>
      <c r="J134" s="43">
        <f t="shared" si="9"/>
        <v>1666755.1999999993</v>
      </c>
      <c r="K134" s="35"/>
      <c r="L134" s="97" t="s">
        <v>5</v>
      </c>
      <c r="M134" s="97" t="s">
        <v>214</v>
      </c>
      <c r="N134" s="97" t="s">
        <v>212</v>
      </c>
      <c r="O134" s="97" t="s">
        <v>213</v>
      </c>
      <c r="P134" s="97" t="s">
        <v>7</v>
      </c>
      <c r="Q134" s="35"/>
      <c r="R134" s="35"/>
      <c r="S134" s="35"/>
      <c r="T134" s="35"/>
      <c r="U134" s="35"/>
      <c r="V134" s="35"/>
      <c r="W134" s="35"/>
    </row>
    <row r="135" spans="1:23">
      <c r="A135" s="48"/>
      <c r="B135" s="46" t="s">
        <v>8</v>
      </c>
      <c r="C135" s="97" t="s">
        <v>8</v>
      </c>
      <c r="D135" s="97"/>
      <c r="E135" s="97"/>
      <c r="F135" s="97"/>
      <c r="G135" s="97" t="s">
        <v>9</v>
      </c>
      <c r="H135" s="38">
        <f>SUM(H9:H134)</f>
        <v>114925616.2</v>
      </c>
      <c r="I135" s="38">
        <f>SUM(I9:I134)</f>
        <v>113258861</v>
      </c>
      <c r="J135" s="38">
        <f>+H135-I135</f>
        <v>1666755.200000003</v>
      </c>
      <c r="K135" s="48"/>
      <c r="L135" s="37">
        <f>+H11+H16+H22+H37+H53+H62+H67+H80+H96+H109+H120+H129</f>
        <v>121202148</v>
      </c>
      <c r="M135" s="51">
        <f>+L135*10%</f>
        <v>12120214.800000001</v>
      </c>
      <c r="N135" s="51">
        <f>+I12+I17+I23+I38+I54+I63+I68+I81+I97+I110+I121+I130</f>
        <v>97917801</v>
      </c>
      <c r="O135" s="51">
        <f>I13+I14+I18+I19+I24+I25+I26+I27+I28+I29+I30+I31+I32+I33+I34+I35+I39+I40+I41+I42+I43+I44+I45+I46+I47+I48+I49+I55+I56+I57+I58+I59+I64+I69+I70+I71+I72+I73+I74+I75+I76+I77+I82+I83+I84+I85+I86+I87+I88+I89+I90+I91+I98+I99+I100+I101+I102+I103+I104</f>
        <v>15341060</v>
      </c>
      <c r="P135" s="153">
        <f>+L135-M135-N135-O135</f>
        <v>-4176927.799999997</v>
      </c>
      <c r="Q135" s="48"/>
      <c r="R135" s="48"/>
      <c r="S135" s="48"/>
      <c r="T135" s="48"/>
      <c r="U135" s="48"/>
      <c r="V135" s="48"/>
      <c r="W135" s="48"/>
    </row>
    <row r="138" spans="1:23">
      <c r="L138" s="181">
        <f t="shared" ref="L138:O138" si="10">L12+L17+L23+L38+L54+L63+L68+L81+L97+L110+L121+L130</f>
        <v>121202148</v>
      </c>
      <c r="M138" s="181">
        <f t="shared" si="10"/>
        <v>12120214.800000004</v>
      </c>
      <c r="N138" s="181">
        <f t="shared" si="10"/>
        <v>97917801</v>
      </c>
      <c r="O138" s="181">
        <f t="shared" si="10"/>
        <v>15341060</v>
      </c>
      <c r="P138" s="181">
        <f>P12+P17+P23+P38+P54+P63+P68+P81+P97+P110+P121+P130</f>
        <v>-4176927.799999997</v>
      </c>
    </row>
    <row r="140" spans="1:23">
      <c r="G140" s="44" t="s">
        <v>210</v>
      </c>
      <c r="H140" s="97" t="s">
        <v>5</v>
      </c>
      <c r="I140" s="97" t="s">
        <v>6</v>
      </c>
      <c r="J140" s="97" t="s">
        <v>198</v>
      </c>
    </row>
    <row r="141" spans="1:23">
      <c r="H141" s="144">
        <f>+H135-H134</f>
        <v>127045831</v>
      </c>
      <c r="I141" s="43">
        <f>+I135</f>
        <v>113258861</v>
      </c>
      <c r="J141" s="143">
        <f>+I141*100/H141</f>
        <v>89.14803430267618</v>
      </c>
    </row>
    <row r="142" spans="1:23">
      <c r="N142" s="50"/>
      <c r="P142" s="181"/>
    </row>
  </sheetData>
  <autoFilter ref="B8:J135" xr:uid="{00000000-0009-0000-0000-00000A000000}"/>
  <mergeCells count="18">
    <mergeCell ref="B128:J128"/>
    <mergeCell ref="B61:J61"/>
    <mergeCell ref="B52:J52"/>
    <mergeCell ref="B7:J7"/>
    <mergeCell ref="B10:J10"/>
    <mergeCell ref="B15:J15"/>
    <mergeCell ref="B21:J21"/>
    <mergeCell ref="B36:J36"/>
    <mergeCell ref="B119:J119"/>
    <mergeCell ref="B108:J108"/>
    <mergeCell ref="B95:J95"/>
    <mergeCell ref="B79:J79"/>
    <mergeCell ref="B66:J66"/>
    <mergeCell ref="B2:J2"/>
    <mergeCell ref="B3:J3"/>
    <mergeCell ref="B4:J4"/>
    <mergeCell ref="B5:J5"/>
    <mergeCell ref="B6:J6"/>
  </mergeCells>
  <conditionalFormatting sqref="B52 H62:J65 H80:J94 H109:J110 H111:I114 J111:J115 H116:J118 H120:J127 J129:J134 H133 H134:I134 H135:J139 H142:J1048576">
    <cfRule type="cellIs" dxfId="117" priority="27" operator="lessThan">
      <formula>0</formula>
    </cfRule>
  </conditionalFormatting>
  <conditionalFormatting sqref="H129:I131">
    <cfRule type="cellIs" dxfId="116" priority="3" operator="lessThan">
      <formula>0</formula>
    </cfRule>
  </conditionalFormatting>
  <conditionalFormatting sqref="H1:J38 H39:I49 J39:J51 B66">
    <cfRule type="cellIs" dxfId="115" priority="24" operator="lessThan">
      <formula>0</formula>
    </cfRule>
  </conditionalFormatting>
  <conditionalFormatting sqref="H53:J54 H55:I55 J55:J60 H56:H58 I57:I58 H59:I60 B61">
    <cfRule type="cellIs" dxfId="114" priority="25" operator="lessThan">
      <formula>0</formula>
    </cfRule>
  </conditionalFormatting>
  <conditionalFormatting sqref="H67:J78">
    <cfRule type="cellIs" dxfId="113" priority="1" operator="lessThan">
      <formula>0</formula>
    </cfRule>
  </conditionalFormatting>
  <conditionalFormatting sqref="H96:J107">
    <cfRule type="cellIs" dxfId="112" priority="4" operator="lessThan">
      <formula>0</formula>
    </cfRule>
  </conditionalFormatting>
  <conditionalFormatting sqref="I132:I133">
    <cfRule type="cellIs" dxfId="111" priority="9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28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94"/>
  <sheetViews>
    <sheetView showGridLines="0" topLeftCell="B49" workbookViewId="0">
      <selection activeCell="L94" sqref="L94"/>
    </sheetView>
  </sheetViews>
  <sheetFormatPr baseColWidth="10" defaultRowHeight="11.25"/>
  <cols>
    <col min="1" max="2" width="11.42578125" style="44"/>
    <col min="3" max="3" width="11.42578125" style="108"/>
    <col min="4" max="4" width="13.5703125" style="44" bestFit="1" customWidth="1"/>
    <col min="5" max="5" width="11.42578125" style="44"/>
    <col min="6" max="6" width="22.7109375" style="44" bestFit="1" customWidth="1"/>
    <col min="7" max="7" width="27.7109375" style="87" customWidth="1"/>
    <col min="8" max="8" width="11.7109375" style="44" bestFit="1" customWidth="1"/>
    <col min="9" max="16384" width="11.42578125" style="44"/>
  </cols>
  <sheetData>
    <row r="1" spans="1:16">
      <c r="A1" s="35"/>
      <c r="B1" s="35"/>
      <c r="C1" s="105"/>
      <c r="D1" s="35"/>
      <c r="E1" s="35"/>
      <c r="F1" s="35"/>
      <c r="G1" s="85"/>
      <c r="H1" s="35"/>
      <c r="I1" s="35"/>
      <c r="J1" s="35"/>
    </row>
    <row r="2" spans="1:16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</row>
    <row r="3" spans="1:16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</row>
    <row r="4" spans="1:16">
      <c r="A4" s="35"/>
      <c r="B4" s="335" t="s">
        <v>100</v>
      </c>
      <c r="C4" s="336"/>
      <c r="D4" s="336"/>
      <c r="E4" s="336"/>
      <c r="F4" s="336"/>
      <c r="G4" s="336"/>
      <c r="H4" s="336"/>
      <c r="I4" s="336"/>
      <c r="J4" s="337"/>
    </row>
    <row r="5" spans="1:16">
      <c r="A5" s="35"/>
      <c r="B5" s="335" t="s">
        <v>99</v>
      </c>
      <c r="C5" s="336"/>
      <c r="D5" s="336"/>
      <c r="E5" s="336"/>
      <c r="F5" s="336"/>
      <c r="G5" s="336"/>
      <c r="H5" s="336"/>
      <c r="I5" s="336"/>
      <c r="J5" s="337"/>
    </row>
    <row r="6" spans="1:16">
      <c r="A6" s="35"/>
      <c r="B6" s="335" t="s">
        <v>74</v>
      </c>
      <c r="C6" s="336"/>
      <c r="D6" s="336"/>
      <c r="E6" s="336"/>
      <c r="F6" s="336"/>
      <c r="G6" s="336"/>
      <c r="H6" s="336"/>
      <c r="I6" s="336"/>
      <c r="J6" s="337"/>
    </row>
    <row r="7" spans="1:16">
      <c r="A7" s="35"/>
      <c r="B7" s="335" t="s">
        <v>101</v>
      </c>
      <c r="C7" s="336"/>
      <c r="D7" s="336"/>
      <c r="E7" s="336"/>
      <c r="F7" s="336"/>
      <c r="G7" s="336"/>
      <c r="H7" s="336"/>
      <c r="I7" s="336"/>
      <c r="J7" s="337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>
      <c r="A9" s="35"/>
      <c r="B9" s="47"/>
      <c r="C9" s="40"/>
      <c r="D9" s="40"/>
      <c r="E9" s="40"/>
      <c r="F9" s="40"/>
      <c r="G9" s="42" t="s">
        <v>237</v>
      </c>
      <c r="H9" s="52">
        <v>-177954</v>
      </c>
      <c r="I9" s="52"/>
      <c r="J9" s="112">
        <f>+H9-I9</f>
        <v>-177954</v>
      </c>
    </row>
    <row r="10" spans="1:16" s="49" customFormat="1">
      <c r="A10" s="48"/>
      <c r="B10" s="379" t="s">
        <v>66</v>
      </c>
      <c r="C10" s="380"/>
      <c r="D10" s="380"/>
      <c r="E10" s="380"/>
      <c r="F10" s="380"/>
      <c r="G10" s="380"/>
      <c r="H10" s="380"/>
      <c r="I10" s="380"/>
      <c r="J10" s="381"/>
      <c r="K10" s="44" t="s">
        <v>90</v>
      </c>
      <c r="L10" s="97" t="s">
        <v>5</v>
      </c>
      <c r="M10" s="97" t="s">
        <v>214</v>
      </c>
      <c r="N10" s="97" t="s">
        <v>212</v>
      </c>
      <c r="O10" s="97" t="s">
        <v>213</v>
      </c>
      <c r="P10" s="97" t="s">
        <v>7</v>
      </c>
    </row>
    <row r="11" spans="1:16">
      <c r="A11" s="35"/>
      <c r="B11" s="47"/>
      <c r="C11" s="40"/>
      <c r="D11" s="40"/>
      <c r="E11" s="40"/>
      <c r="F11" s="42" t="s">
        <v>171</v>
      </c>
      <c r="G11" s="42" t="s">
        <v>171</v>
      </c>
      <c r="H11" s="37">
        <f>SUBVENCION!C19+SUBVENCION!D19</f>
        <v>655614</v>
      </c>
      <c r="I11" s="37"/>
      <c r="J11" s="43">
        <f>+J9+H11-I11</f>
        <v>477660</v>
      </c>
      <c r="K11" s="49"/>
      <c r="L11" s="37">
        <f>H11</f>
        <v>655614</v>
      </c>
      <c r="M11" s="51">
        <f>L11*10%</f>
        <v>65561.400000000009</v>
      </c>
      <c r="N11" s="51"/>
      <c r="O11" s="51"/>
      <c r="P11" s="153">
        <f>L11-M11</f>
        <v>590052.6</v>
      </c>
    </row>
    <row r="12" spans="1:16" s="49" customFormat="1">
      <c r="A12" s="48"/>
      <c r="B12" s="330" t="s">
        <v>67</v>
      </c>
      <c r="C12" s="331"/>
      <c r="D12" s="331"/>
      <c r="E12" s="331"/>
      <c r="F12" s="331"/>
      <c r="G12" s="331"/>
      <c r="H12" s="331"/>
      <c r="I12" s="331"/>
      <c r="J12" s="332"/>
      <c r="K12" s="44" t="s">
        <v>229</v>
      </c>
      <c r="L12" s="97" t="s">
        <v>5</v>
      </c>
      <c r="M12" s="97" t="s">
        <v>214</v>
      </c>
      <c r="N12" s="97" t="s">
        <v>212</v>
      </c>
      <c r="O12" s="97" t="s">
        <v>213</v>
      </c>
      <c r="P12" s="97" t="s">
        <v>7</v>
      </c>
    </row>
    <row r="13" spans="1:16">
      <c r="A13" s="35"/>
      <c r="B13" s="41"/>
      <c r="C13" s="40"/>
      <c r="D13" s="42"/>
      <c r="E13" s="42"/>
      <c r="F13" s="42" t="s">
        <v>171</v>
      </c>
      <c r="G13" s="42" t="s">
        <v>171</v>
      </c>
      <c r="H13" s="37">
        <f>SUBVENCION!E19+SUBVENCION!F19</f>
        <v>694449</v>
      </c>
      <c r="I13" s="37"/>
      <c r="J13" s="43">
        <f>+J11+H13-I13</f>
        <v>1172109</v>
      </c>
      <c r="L13" s="37">
        <f>H13</f>
        <v>694449</v>
      </c>
      <c r="M13" s="51">
        <f>L13*10%</f>
        <v>69444.900000000009</v>
      </c>
      <c r="N13" s="51"/>
      <c r="O13" s="51"/>
      <c r="P13" s="153">
        <f>L13-M13</f>
        <v>625004.1</v>
      </c>
    </row>
    <row r="14" spans="1:16" s="49" customFormat="1">
      <c r="A14" s="48"/>
      <c r="B14" s="367" t="s">
        <v>68</v>
      </c>
      <c r="C14" s="367"/>
      <c r="D14" s="367"/>
      <c r="E14" s="367"/>
      <c r="F14" s="367"/>
      <c r="G14" s="367"/>
      <c r="H14" s="367"/>
      <c r="I14" s="367"/>
      <c r="J14" s="367"/>
    </row>
    <row r="15" spans="1:16">
      <c r="A15" s="35"/>
      <c r="B15" s="41"/>
      <c r="C15" s="40"/>
      <c r="D15" s="42"/>
      <c r="E15" s="42"/>
      <c r="F15" s="42" t="s">
        <v>171</v>
      </c>
      <c r="G15" s="42" t="s">
        <v>171</v>
      </c>
      <c r="H15" s="37">
        <f>SUBVENCION!G19+SUBVENCION!H19</f>
        <v>668721</v>
      </c>
      <c r="I15" s="37"/>
      <c r="J15" s="43">
        <f>+J13+H15-I15</f>
        <v>1840830</v>
      </c>
      <c r="K15" s="49" t="s">
        <v>224</v>
      </c>
      <c r="L15" s="97" t="s">
        <v>5</v>
      </c>
      <c r="M15" s="97" t="s">
        <v>214</v>
      </c>
      <c r="N15" s="97" t="s">
        <v>212</v>
      </c>
      <c r="O15" s="97" t="s">
        <v>213</v>
      </c>
      <c r="P15" s="97" t="s">
        <v>7</v>
      </c>
    </row>
    <row r="16" spans="1:16" s="7" customFormat="1">
      <c r="A16" s="5"/>
      <c r="B16" s="19">
        <v>46087</v>
      </c>
      <c r="C16" s="10">
        <v>1</v>
      </c>
      <c r="D16" s="10">
        <v>55</v>
      </c>
      <c r="E16" s="9">
        <v>340</v>
      </c>
      <c r="F16" s="18" t="s">
        <v>293</v>
      </c>
      <c r="G16" s="18" t="s">
        <v>294</v>
      </c>
      <c r="H16" s="12"/>
      <c r="I16" s="12">
        <v>205000</v>
      </c>
      <c r="J16" s="8">
        <f>+J15+H16-I16</f>
        <v>1635830</v>
      </c>
      <c r="K16" s="21"/>
      <c r="L16" s="12">
        <f>H15</f>
        <v>668721</v>
      </c>
      <c r="M16" s="150">
        <f>H15*10%</f>
        <v>66872.100000000006</v>
      </c>
      <c r="N16" s="150">
        <v>0</v>
      </c>
      <c r="O16" s="150">
        <f>I16+I17+I18</f>
        <v>589799</v>
      </c>
      <c r="P16" s="272">
        <f>L16-M16-O16</f>
        <v>12049.900000000023</v>
      </c>
    </row>
    <row r="17" spans="1:16">
      <c r="A17" s="35"/>
      <c r="B17" s="41">
        <v>46087</v>
      </c>
      <c r="C17" s="45">
        <v>2</v>
      </c>
      <c r="D17" s="45">
        <v>60</v>
      </c>
      <c r="E17" s="40">
        <v>377</v>
      </c>
      <c r="F17" s="42" t="s">
        <v>298</v>
      </c>
      <c r="G17" s="42" t="s">
        <v>261</v>
      </c>
      <c r="H17" s="37"/>
      <c r="I17" s="37">
        <v>180900</v>
      </c>
      <c r="J17" s="8">
        <f t="shared" ref="J17:J19" si="0">+J16+H17-I17</f>
        <v>1454930</v>
      </c>
    </row>
    <row r="18" spans="1:16">
      <c r="A18" s="35"/>
      <c r="B18" s="41">
        <v>46087</v>
      </c>
      <c r="C18" s="45">
        <v>3</v>
      </c>
      <c r="D18" s="45">
        <v>73</v>
      </c>
      <c r="E18" s="40">
        <v>383</v>
      </c>
      <c r="F18" s="42" t="s">
        <v>267</v>
      </c>
      <c r="G18" s="42" t="s">
        <v>240</v>
      </c>
      <c r="H18" s="37"/>
      <c r="I18" s="37">
        <v>203899</v>
      </c>
      <c r="J18" s="8">
        <f t="shared" si="0"/>
        <v>1251031</v>
      </c>
    </row>
    <row r="19" spans="1:16">
      <c r="A19" s="35"/>
      <c r="B19" s="41"/>
      <c r="C19" s="40"/>
      <c r="D19" s="40"/>
      <c r="E19" s="40"/>
      <c r="F19" s="42"/>
      <c r="G19" s="42"/>
      <c r="H19" s="37"/>
      <c r="I19" s="37"/>
      <c r="J19" s="8">
        <f t="shared" si="0"/>
        <v>1251031</v>
      </c>
    </row>
    <row r="20" spans="1:16" s="49" customFormat="1">
      <c r="A20" s="48"/>
      <c r="B20" s="374" t="s">
        <v>69</v>
      </c>
      <c r="C20" s="375"/>
      <c r="D20" s="375"/>
      <c r="E20" s="375"/>
      <c r="F20" s="375"/>
      <c r="G20" s="375"/>
      <c r="H20" s="375"/>
      <c r="I20" s="375"/>
      <c r="J20" s="376"/>
    </row>
    <row r="21" spans="1:16" s="49" customFormat="1">
      <c r="A21" s="48"/>
      <c r="B21" s="97"/>
      <c r="C21" s="97"/>
      <c r="D21" s="97"/>
      <c r="E21" s="97"/>
      <c r="F21" s="42" t="s">
        <v>171</v>
      </c>
      <c r="G21" s="42" t="s">
        <v>171</v>
      </c>
      <c r="H21" s="37">
        <f>SUBVENCION!I19+SUBVENCION!J19</f>
        <v>869820</v>
      </c>
      <c r="I21" s="97"/>
      <c r="J21" s="43">
        <f>+J19+H21-I21</f>
        <v>2120851</v>
      </c>
      <c r="K21" s="44" t="s">
        <v>128</v>
      </c>
      <c r="L21" s="97" t="s">
        <v>5</v>
      </c>
      <c r="M21" s="97" t="s">
        <v>214</v>
      </c>
      <c r="N21" s="97" t="s">
        <v>212</v>
      </c>
      <c r="O21" s="97" t="s">
        <v>213</v>
      </c>
      <c r="P21" s="97" t="s">
        <v>7</v>
      </c>
    </row>
    <row r="22" spans="1:16" s="49" customFormat="1">
      <c r="A22" s="48"/>
      <c r="B22" s="41">
        <v>46114</v>
      </c>
      <c r="C22" s="40">
        <v>5</v>
      </c>
      <c r="D22" s="40">
        <v>213</v>
      </c>
      <c r="E22" s="40">
        <v>410</v>
      </c>
      <c r="F22" s="42" t="s">
        <v>267</v>
      </c>
      <c r="G22" s="42" t="s">
        <v>267</v>
      </c>
      <c r="H22" s="97"/>
      <c r="I22" s="37">
        <v>209540</v>
      </c>
      <c r="J22" s="43">
        <f>+J21+H22-I22</f>
        <v>1911311</v>
      </c>
      <c r="K22" s="44"/>
      <c r="L22" s="37">
        <f>H21</f>
        <v>869820</v>
      </c>
      <c r="M22" s="51">
        <f>L22*10%</f>
        <v>86982</v>
      </c>
      <c r="N22" s="51"/>
      <c r="O22" s="51">
        <f>I22+I23+I24+I25+I26+I27+I28+I29+I30</f>
        <v>1806983</v>
      </c>
      <c r="P22" s="153">
        <f>L22-M22-O22</f>
        <v>-1024145</v>
      </c>
    </row>
    <row r="23" spans="1:16" s="49" customFormat="1">
      <c r="A23" s="48"/>
      <c r="B23" s="41">
        <v>46125</v>
      </c>
      <c r="C23" s="40">
        <v>8</v>
      </c>
      <c r="D23" s="40">
        <v>283</v>
      </c>
      <c r="E23" s="40">
        <v>636</v>
      </c>
      <c r="F23" s="42" t="s">
        <v>267</v>
      </c>
      <c r="G23" s="42" t="s">
        <v>267</v>
      </c>
      <c r="H23" s="97"/>
      <c r="I23" s="37">
        <v>207655</v>
      </c>
      <c r="J23" s="43">
        <f t="shared" ref="J23:J31" si="1">+J22+H23-I23</f>
        <v>1703656</v>
      </c>
    </row>
    <row r="24" spans="1:16" s="49" customFormat="1">
      <c r="A24" s="48"/>
      <c r="B24" s="41">
        <v>46125</v>
      </c>
      <c r="C24" s="40">
        <v>7</v>
      </c>
      <c r="D24" s="40">
        <v>282</v>
      </c>
      <c r="E24" s="40">
        <v>702</v>
      </c>
      <c r="F24" s="42" t="s">
        <v>396</v>
      </c>
      <c r="G24" s="42" t="s">
        <v>397</v>
      </c>
      <c r="H24" s="97"/>
      <c r="I24" s="37">
        <v>178500</v>
      </c>
      <c r="J24" s="43">
        <f t="shared" si="1"/>
        <v>1525156</v>
      </c>
    </row>
    <row r="25" spans="1:16" s="49" customFormat="1">
      <c r="A25" s="48"/>
      <c r="B25" s="41">
        <v>46127</v>
      </c>
      <c r="C25" s="40">
        <v>6</v>
      </c>
      <c r="D25" s="40">
        <v>281</v>
      </c>
      <c r="E25" s="40">
        <v>642</v>
      </c>
      <c r="F25" s="42" t="s">
        <v>267</v>
      </c>
      <c r="G25" s="42" t="s">
        <v>240</v>
      </c>
      <c r="H25" s="97"/>
      <c r="I25" s="37">
        <v>209000</v>
      </c>
      <c r="J25" s="43">
        <f t="shared" si="1"/>
        <v>1316156</v>
      </c>
    </row>
    <row r="26" spans="1:16" s="49" customFormat="1">
      <c r="A26" s="48"/>
      <c r="B26" s="41">
        <v>46127</v>
      </c>
      <c r="C26" s="40">
        <v>11</v>
      </c>
      <c r="D26" s="40" t="s">
        <v>399</v>
      </c>
      <c r="E26" s="40">
        <v>599</v>
      </c>
      <c r="F26" s="42" t="s">
        <v>242</v>
      </c>
      <c r="G26" s="42" t="s">
        <v>242</v>
      </c>
      <c r="H26" s="97"/>
      <c r="I26" s="37">
        <v>200640</v>
      </c>
      <c r="J26" s="43">
        <f t="shared" si="1"/>
        <v>1115516</v>
      </c>
    </row>
    <row r="27" spans="1:16" s="49" customFormat="1">
      <c r="A27" s="48"/>
      <c r="B27" s="41">
        <v>46127</v>
      </c>
      <c r="C27" s="40">
        <v>9</v>
      </c>
      <c r="D27" s="40">
        <v>296</v>
      </c>
      <c r="E27" s="40">
        <v>750</v>
      </c>
      <c r="F27" s="42" t="s">
        <v>267</v>
      </c>
      <c r="G27" s="42" t="s">
        <v>267</v>
      </c>
      <c r="H27" s="97"/>
      <c r="I27" s="37">
        <v>197008</v>
      </c>
      <c r="J27" s="43">
        <f t="shared" si="1"/>
        <v>918508</v>
      </c>
    </row>
    <row r="28" spans="1:16" s="21" customFormat="1">
      <c r="A28" s="13"/>
      <c r="B28" s="19">
        <v>46136</v>
      </c>
      <c r="C28" s="9">
        <v>12</v>
      </c>
      <c r="D28" s="9">
        <v>351</v>
      </c>
      <c r="E28" s="9">
        <v>727</v>
      </c>
      <c r="F28" s="18" t="s">
        <v>293</v>
      </c>
      <c r="G28" s="18" t="s">
        <v>294</v>
      </c>
      <c r="H28" s="15"/>
      <c r="I28" s="12">
        <v>205000</v>
      </c>
      <c r="J28" s="43">
        <f t="shared" si="1"/>
        <v>713508</v>
      </c>
    </row>
    <row r="29" spans="1:16" s="49" customFormat="1">
      <c r="A29" s="48"/>
      <c r="B29" s="41">
        <v>46136</v>
      </c>
      <c r="C29" s="40">
        <v>14</v>
      </c>
      <c r="D29" s="40">
        <v>352</v>
      </c>
      <c r="E29" s="40">
        <v>583</v>
      </c>
      <c r="F29" s="42" t="s">
        <v>267</v>
      </c>
      <c r="G29" s="42" t="s">
        <v>267</v>
      </c>
      <c r="H29" s="97"/>
      <c r="I29" s="37">
        <v>209640</v>
      </c>
      <c r="J29" s="43">
        <f t="shared" si="1"/>
        <v>503868</v>
      </c>
    </row>
    <row r="30" spans="1:16" s="49" customFormat="1">
      <c r="A30" s="48"/>
      <c r="B30" s="41">
        <v>46136</v>
      </c>
      <c r="C30" s="40">
        <v>13</v>
      </c>
      <c r="D30" s="40">
        <v>353</v>
      </c>
      <c r="E30" s="40">
        <v>696</v>
      </c>
      <c r="F30" s="42" t="s">
        <v>422</v>
      </c>
      <c r="G30" s="42" t="s">
        <v>422</v>
      </c>
      <c r="H30" s="97"/>
      <c r="I30" s="37">
        <v>190000</v>
      </c>
      <c r="J30" s="43">
        <f t="shared" si="1"/>
        <v>313868</v>
      </c>
    </row>
    <row r="31" spans="1:16" s="49" customFormat="1">
      <c r="A31" s="48"/>
      <c r="B31" s="41"/>
      <c r="C31" s="40"/>
      <c r="D31" s="40"/>
      <c r="E31" s="40"/>
      <c r="F31" s="42"/>
      <c r="G31" s="42"/>
      <c r="H31" s="97"/>
      <c r="I31" s="37"/>
      <c r="J31" s="43">
        <f t="shared" si="1"/>
        <v>313868</v>
      </c>
    </row>
    <row r="32" spans="1:16">
      <c r="A32" s="35"/>
      <c r="B32" s="341" t="s">
        <v>120</v>
      </c>
      <c r="C32" s="342"/>
      <c r="D32" s="342"/>
      <c r="E32" s="342"/>
      <c r="F32" s="342"/>
      <c r="G32" s="342"/>
      <c r="H32" s="342"/>
      <c r="I32" s="342"/>
      <c r="J32" s="343"/>
    </row>
    <row r="33" spans="1:16">
      <c r="A33" s="35"/>
      <c r="B33" s="41"/>
      <c r="C33" s="52"/>
      <c r="D33" s="52"/>
      <c r="E33" s="52"/>
      <c r="F33" s="42" t="s">
        <v>171</v>
      </c>
      <c r="G33" s="42" t="s">
        <v>171</v>
      </c>
      <c r="H33" s="161">
        <v>869820</v>
      </c>
      <c r="I33" s="110"/>
      <c r="J33" s="110">
        <f>+J31+H33-I33</f>
        <v>1183688</v>
      </c>
      <c r="K33" s="44" t="s">
        <v>120</v>
      </c>
      <c r="L33" s="97" t="s">
        <v>5</v>
      </c>
      <c r="M33" s="97" t="s">
        <v>214</v>
      </c>
      <c r="N33" s="97" t="s">
        <v>212</v>
      </c>
      <c r="O33" s="97" t="s">
        <v>213</v>
      </c>
      <c r="P33" s="97" t="s">
        <v>7</v>
      </c>
    </row>
    <row r="34" spans="1:16">
      <c r="A34" s="35"/>
      <c r="B34" s="41">
        <v>46149</v>
      </c>
      <c r="C34" s="52">
        <v>17</v>
      </c>
      <c r="D34" s="52">
        <v>405</v>
      </c>
      <c r="E34" s="52">
        <v>746</v>
      </c>
      <c r="F34" s="42" t="s">
        <v>267</v>
      </c>
      <c r="G34" s="42" t="s">
        <v>240</v>
      </c>
      <c r="H34" s="52"/>
      <c r="I34" s="110">
        <v>211750</v>
      </c>
      <c r="J34" s="110">
        <f>+J33+H34-I34</f>
        <v>971938</v>
      </c>
      <c r="L34" s="37">
        <f>H33</f>
        <v>869820</v>
      </c>
      <c r="M34" s="51">
        <f>L34*10%</f>
        <v>86982</v>
      </c>
      <c r="N34" s="51"/>
      <c r="O34" s="51">
        <f>I34+I35+I36</f>
        <v>629050</v>
      </c>
      <c r="P34" s="153">
        <f>H33-M34-O34</f>
        <v>153788</v>
      </c>
    </row>
    <row r="35" spans="1:16">
      <c r="A35" s="35"/>
      <c r="B35" s="41">
        <v>46153</v>
      </c>
      <c r="C35" s="52">
        <v>18</v>
      </c>
      <c r="D35" s="52">
        <v>429</v>
      </c>
      <c r="E35" s="52">
        <v>747</v>
      </c>
      <c r="F35" s="42" t="s">
        <v>242</v>
      </c>
      <c r="G35" s="42" t="s">
        <v>242</v>
      </c>
      <c r="H35" s="52"/>
      <c r="I35" s="110">
        <v>209050</v>
      </c>
      <c r="J35" s="110">
        <f t="shared" ref="J35:J36" si="2">+J34+H35-I35</f>
        <v>762888</v>
      </c>
    </row>
    <row r="36" spans="1:16">
      <c r="A36" s="35"/>
      <c r="B36" s="41">
        <v>46149</v>
      </c>
      <c r="C36" s="52">
        <v>15</v>
      </c>
      <c r="D36" s="52">
        <v>439</v>
      </c>
      <c r="E36" s="52">
        <v>761</v>
      </c>
      <c r="F36" s="42" t="s">
        <v>396</v>
      </c>
      <c r="G36" s="42" t="s">
        <v>396</v>
      </c>
      <c r="H36" s="52"/>
      <c r="I36" s="110">
        <v>208250</v>
      </c>
      <c r="J36" s="110">
        <f t="shared" si="2"/>
        <v>554638</v>
      </c>
    </row>
    <row r="37" spans="1:16">
      <c r="B37" s="378" t="s">
        <v>129</v>
      </c>
      <c r="C37" s="378"/>
      <c r="D37" s="378"/>
      <c r="E37" s="378"/>
      <c r="F37" s="378"/>
      <c r="G37" s="378"/>
      <c r="H37" s="378"/>
      <c r="I37" s="378"/>
      <c r="J37" s="378"/>
    </row>
    <row r="38" spans="1:16">
      <c r="B38" s="47"/>
      <c r="C38" s="40"/>
      <c r="D38" s="40"/>
      <c r="E38" s="40"/>
      <c r="F38" s="42" t="s">
        <v>171</v>
      </c>
      <c r="G38" s="42" t="s">
        <v>171</v>
      </c>
      <c r="H38" s="12">
        <f>SUBVENCION!M19+SUBVENCION!N19</f>
        <v>1293635</v>
      </c>
      <c r="I38" s="37"/>
      <c r="J38" s="43">
        <f>+J36+H38-I38</f>
        <v>1848273</v>
      </c>
      <c r="K38" s="44" t="s">
        <v>225</v>
      </c>
      <c r="L38" s="97" t="s">
        <v>5</v>
      </c>
      <c r="M38" s="97" t="s">
        <v>214</v>
      </c>
      <c r="N38" s="97" t="s">
        <v>212</v>
      </c>
      <c r="O38" s="97" t="s">
        <v>213</v>
      </c>
      <c r="P38" s="97" t="s">
        <v>7</v>
      </c>
    </row>
    <row r="39" spans="1:16">
      <c r="B39" s="47">
        <v>46177</v>
      </c>
      <c r="C39" s="40">
        <v>19</v>
      </c>
      <c r="D39" s="40">
        <v>540</v>
      </c>
      <c r="E39" s="40">
        <v>881</v>
      </c>
      <c r="F39" s="18" t="s">
        <v>293</v>
      </c>
      <c r="G39" s="18" t="s">
        <v>294</v>
      </c>
      <c r="H39" s="37"/>
      <c r="I39" s="12">
        <v>205000</v>
      </c>
      <c r="J39" s="43">
        <f>+J38+H39-I39</f>
        <v>1643273</v>
      </c>
      <c r="L39" s="37">
        <f>H38</f>
        <v>1293635</v>
      </c>
      <c r="M39" s="51">
        <f>L39*10%</f>
        <v>129363.5</v>
      </c>
      <c r="N39" s="51"/>
      <c r="O39" s="51">
        <f>I39+I40+I41+I42</f>
        <v>847600</v>
      </c>
      <c r="P39" s="153">
        <f>L39-M39-O39</f>
        <v>316671.5</v>
      </c>
    </row>
    <row r="40" spans="1:16">
      <c r="B40" s="47">
        <v>46184</v>
      </c>
      <c r="C40" s="224">
        <v>21</v>
      </c>
      <c r="D40" s="224">
        <v>567</v>
      </c>
      <c r="E40" s="127"/>
      <c r="F40" s="42" t="s">
        <v>267</v>
      </c>
      <c r="G40" s="42" t="s">
        <v>267</v>
      </c>
      <c r="H40" s="37"/>
      <c r="I40" s="37">
        <v>214400</v>
      </c>
      <c r="J40" s="43">
        <f t="shared" ref="J40:J43" si="3">+J39+H40-I40</f>
        <v>1428873</v>
      </c>
    </row>
    <row r="41" spans="1:16">
      <c r="B41" s="47">
        <v>46185</v>
      </c>
      <c r="C41" s="40">
        <v>22</v>
      </c>
      <c r="D41" s="40">
        <v>579</v>
      </c>
      <c r="E41" s="40">
        <v>1159</v>
      </c>
      <c r="F41" s="42" t="s">
        <v>353</v>
      </c>
      <c r="G41" s="42" t="s">
        <v>353</v>
      </c>
      <c r="H41" s="37"/>
      <c r="I41" s="37">
        <v>214200</v>
      </c>
      <c r="J41" s="43">
        <f t="shared" si="3"/>
        <v>1214673</v>
      </c>
    </row>
    <row r="42" spans="1:16">
      <c r="B42" s="47">
        <v>46189</v>
      </c>
      <c r="C42" s="40">
        <v>23</v>
      </c>
      <c r="D42" s="40">
        <v>598</v>
      </c>
      <c r="E42" s="40">
        <v>886</v>
      </c>
      <c r="F42" s="18" t="s">
        <v>293</v>
      </c>
      <c r="G42" s="18" t="s">
        <v>294</v>
      </c>
      <c r="H42" s="37"/>
      <c r="I42" s="37">
        <v>214000</v>
      </c>
      <c r="J42" s="43">
        <f t="shared" si="3"/>
        <v>1000673</v>
      </c>
    </row>
    <row r="43" spans="1:16">
      <c r="B43" s="47"/>
      <c r="C43" s="40"/>
      <c r="D43" s="40"/>
      <c r="E43" s="40"/>
      <c r="F43" s="18"/>
      <c r="G43" s="18"/>
      <c r="H43" s="37"/>
      <c r="I43" s="37"/>
      <c r="J43" s="43">
        <f t="shared" si="3"/>
        <v>1000673</v>
      </c>
    </row>
    <row r="44" spans="1:16">
      <c r="B44" s="378" t="s">
        <v>65</v>
      </c>
      <c r="C44" s="378"/>
      <c r="D44" s="378"/>
      <c r="E44" s="378"/>
      <c r="F44" s="378"/>
      <c r="G44" s="378"/>
      <c r="H44" s="378"/>
      <c r="I44" s="378"/>
      <c r="J44" s="378"/>
    </row>
    <row r="45" spans="1:16">
      <c r="B45" s="47"/>
      <c r="C45" s="40"/>
      <c r="D45" s="40"/>
      <c r="E45" s="40"/>
      <c r="F45" s="42" t="s">
        <v>171</v>
      </c>
      <c r="G45" s="42" t="s">
        <v>171</v>
      </c>
      <c r="H45" s="37">
        <f>+SUBVENCION!O19+SUBVENCION!P19</f>
        <v>980215</v>
      </c>
      <c r="I45" s="37"/>
      <c r="J45" s="43">
        <f>+J43+H45-I45</f>
        <v>1980888</v>
      </c>
      <c r="K45" s="44" t="s">
        <v>226</v>
      </c>
      <c r="L45" s="97" t="s">
        <v>5</v>
      </c>
      <c r="M45" s="97" t="s">
        <v>214</v>
      </c>
      <c r="N45" s="97" t="s">
        <v>212</v>
      </c>
      <c r="O45" s="97" t="s">
        <v>213</v>
      </c>
      <c r="P45" s="97" t="s">
        <v>7</v>
      </c>
    </row>
    <row r="46" spans="1:16">
      <c r="B46" s="47">
        <v>46226</v>
      </c>
      <c r="C46" s="40">
        <v>28</v>
      </c>
      <c r="D46" s="40">
        <v>706</v>
      </c>
      <c r="E46" s="40">
        <v>1214</v>
      </c>
      <c r="F46" s="42" t="s">
        <v>242</v>
      </c>
      <c r="G46" s="42" t="s">
        <v>242</v>
      </c>
      <c r="H46" s="37"/>
      <c r="I46" s="37">
        <v>185440</v>
      </c>
      <c r="J46" s="43">
        <f>+J45+H46-I46</f>
        <v>1795448</v>
      </c>
      <c r="L46" s="37">
        <f>H45</f>
        <v>980215</v>
      </c>
      <c r="M46" s="51">
        <f>L46*10%</f>
        <v>98021.5</v>
      </c>
      <c r="N46" s="51"/>
      <c r="O46" s="51">
        <f>I46+I47+I49+I48</f>
        <v>826088</v>
      </c>
      <c r="P46" s="153">
        <f>L46-M46-O46</f>
        <v>56105.5</v>
      </c>
    </row>
    <row r="47" spans="1:16">
      <c r="B47" s="47">
        <v>46226</v>
      </c>
      <c r="C47" s="40">
        <v>27</v>
      </c>
      <c r="D47" s="40">
        <v>709</v>
      </c>
      <c r="E47" s="40">
        <v>1211</v>
      </c>
      <c r="F47" s="42" t="s">
        <v>250</v>
      </c>
      <c r="G47" s="42" t="s">
        <v>561</v>
      </c>
      <c r="H47" s="37"/>
      <c r="I47" s="37">
        <v>213400</v>
      </c>
      <c r="J47" s="43">
        <f t="shared" ref="J47:J49" si="4">+J46+H47-I47</f>
        <v>1582048</v>
      </c>
    </row>
    <row r="48" spans="1:16">
      <c r="B48" s="47">
        <v>46226</v>
      </c>
      <c r="C48" s="40">
        <v>26</v>
      </c>
      <c r="D48" s="40">
        <v>710</v>
      </c>
      <c r="E48" s="40">
        <v>1188</v>
      </c>
      <c r="F48" s="42" t="s">
        <v>293</v>
      </c>
      <c r="G48" s="42" t="s">
        <v>562</v>
      </c>
      <c r="H48" s="37"/>
      <c r="I48" s="37">
        <v>214000</v>
      </c>
      <c r="J48" s="43">
        <f t="shared" si="4"/>
        <v>1368048</v>
      </c>
    </row>
    <row r="49" spans="2:16">
      <c r="B49" s="47">
        <v>46191</v>
      </c>
      <c r="C49" s="40">
        <v>24</v>
      </c>
      <c r="D49" s="40">
        <v>722</v>
      </c>
      <c r="E49" s="40">
        <v>1207</v>
      </c>
      <c r="F49" s="42" t="s">
        <v>293</v>
      </c>
      <c r="G49" s="42" t="s">
        <v>572</v>
      </c>
      <c r="H49" s="37"/>
      <c r="I49" s="37">
        <v>213248</v>
      </c>
      <c r="J49" s="43">
        <f t="shared" si="4"/>
        <v>1154800</v>
      </c>
    </row>
    <row r="50" spans="2:16">
      <c r="B50" s="377" t="s">
        <v>130</v>
      </c>
      <c r="C50" s="377"/>
      <c r="D50" s="377"/>
      <c r="E50" s="377"/>
      <c r="F50" s="377"/>
      <c r="G50" s="377"/>
      <c r="H50" s="377"/>
      <c r="I50" s="377"/>
      <c r="J50" s="377"/>
    </row>
    <row r="51" spans="2:16">
      <c r="B51" s="41"/>
      <c r="C51" s="42"/>
      <c r="D51" s="40"/>
      <c r="E51" s="42"/>
      <c r="F51" s="42" t="s">
        <v>171</v>
      </c>
      <c r="G51" s="42" t="s">
        <v>171</v>
      </c>
      <c r="H51" s="37">
        <f>+SUBVENCION!Q19+SUBVENCION!R19</f>
        <v>923630</v>
      </c>
      <c r="I51" s="37"/>
      <c r="J51" s="43">
        <f>+J49+H51-I51</f>
        <v>2078430</v>
      </c>
      <c r="K51" s="44" t="s">
        <v>130</v>
      </c>
      <c r="L51" s="97" t="s">
        <v>5</v>
      </c>
      <c r="M51" s="97" t="s">
        <v>214</v>
      </c>
      <c r="N51" s="97" t="s">
        <v>212</v>
      </c>
      <c r="O51" s="97" t="s">
        <v>213</v>
      </c>
      <c r="P51" s="97" t="s">
        <v>7</v>
      </c>
    </row>
    <row r="52" spans="2:16">
      <c r="B52" s="41">
        <v>46253</v>
      </c>
      <c r="C52" s="40">
        <v>30</v>
      </c>
      <c r="D52" s="40">
        <v>850</v>
      </c>
      <c r="E52" s="40">
        <v>1385</v>
      </c>
      <c r="F52" s="42" t="s">
        <v>250</v>
      </c>
      <c r="G52" s="42" t="s">
        <v>267</v>
      </c>
      <c r="H52" s="37"/>
      <c r="I52" s="37">
        <v>213997</v>
      </c>
      <c r="J52" s="43">
        <f>+J51+H52-I52</f>
        <v>1864433</v>
      </c>
      <c r="L52" s="37">
        <f>H51</f>
        <v>923630</v>
      </c>
      <c r="M52" s="51">
        <f>L52*10%</f>
        <v>92363</v>
      </c>
      <c r="N52" s="51"/>
      <c r="O52" s="51">
        <f>I52+I53+I54+I55</f>
        <v>571797</v>
      </c>
      <c r="P52" s="153">
        <f>L52-M52-O52</f>
        <v>259470</v>
      </c>
    </row>
    <row r="53" spans="2:16">
      <c r="B53" s="41"/>
      <c r="C53" s="40"/>
      <c r="D53" s="40"/>
      <c r="E53" s="40">
        <v>1404</v>
      </c>
      <c r="F53" s="42" t="s">
        <v>678</v>
      </c>
      <c r="G53" s="42" t="s">
        <v>678</v>
      </c>
      <c r="H53" s="37"/>
      <c r="I53" s="37">
        <v>143000</v>
      </c>
      <c r="J53" s="43">
        <f t="shared" ref="J53:J54" si="5">+J52+H53-I53</f>
        <v>1721433</v>
      </c>
    </row>
    <row r="54" spans="2:16">
      <c r="B54" s="41">
        <v>46261</v>
      </c>
      <c r="C54" s="40">
        <v>31</v>
      </c>
      <c r="D54" s="40">
        <v>886</v>
      </c>
      <c r="E54" s="40"/>
      <c r="F54" s="42" t="s">
        <v>250</v>
      </c>
      <c r="G54" s="42" t="s">
        <v>267</v>
      </c>
      <c r="H54" s="37"/>
      <c r="I54" s="37">
        <v>214800</v>
      </c>
      <c r="J54" s="43">
        <f t="shared" si="5"/>
        <v>1506633</v>
      </c>
    </row>
    <row r="55" spans="2:16">
      <c r="B55" s="41"/>
      <c r="C55" s="40"/>
      <c r="D55" s="40"/>
      <c r="E55" s="40"/>
      <c r="F55" s="42"/>
      <c r="G55" s="42"/>
      <c r="H55" s="37"/>
      <c r="I55" s="37"/>
      <c r="J55" s="43">
        <f>+J54+H55-I55</f>
        <v>1506633</v>
      </c>
    </row>
    <row r="56" spans="2:16">
      <c r="B56" s="377" t="s">
        <v>131</v>
      </c>
      <c r="C56" s="377"/>
      <c r="D56" s="377"/>
      <c r="E56" s="377"/>
      <c r="F56" s="377"/>
      <c r="G56" s="377"/>
      <c r="H56" s="377"/>
      <c r="I56" s="377"/>
      <c r="J56" s="377"/>
    </row>
    <row r="57" spans="2:16">
      <c r="B57" s="47"/>
      <c r="C57" s="40"/>
      <c r="D57" s="40"/>
      <c r="E57" s="40"/>
      <c r="F57" s="42" t="s">
        <v>171</v>
      </c>
      <c r="G57" s="42" t="s">
        <v>171</v>
      </c>
      <c r="H57" s="37">
        <f>+SUBVENCION!S19+SUBVENCION!T19</f>
        <v>862876</v>
      </c>
      <c r="I57" s="37"/>
      <c r="J57" s="43">
        <f>+J55+H57-I57</f>
        <v>2369509</v>
      </c>
      <c r="K57" s="44" t="s">
        <v>228</v>
      </c>
      <c r="L57" s="97" t="s">
        <v>5</v>
      </c>
      <c r="M57" s="97" t="s">
        <v>214</v>
      </c>
      <c r="N57" s="97" t="s">
        <v>212</v>
      </c>
      <c r="O57" s="97" t="s">
        <v>213</v>
      </c>
      <c r="P57" s="97" t="s">
        <v>7</v>
      </c>
    </row>
    <row r="58" spans="2:16">
      <c r="B58" s="47">
        <v>46266</v>
      </c>
      <c r="C58" s="40">
        <v>32</v>
      </c>
      <c r="D58" s="40">
        <v>914</v>
      </c>
      <c r="E58" s="236"/>
      <c r="F58" s="42" t="s">
        <v>242</v>
      </c>
      <c r="G58" s="42" t="s">
        <v>242</v>
      </c>
      <c r="H58" s="37"/>
      <c r="I58" s="37">
        <v>214574</v>
      </c>
      <c r="J58" s="43">
        <f>+J57+H58-I58</f>
        <v>2154935</v>
      </c>
      <c r="L58" s="37">
        <f>H57</f>
        <v>862876</v>
      </c>
      <c r="M58" s="51">
        <f>L58*10%</f>
        <v>86287.6</v>
      </c>
      <c r="N58" s="51"/>
      <c r="O58" s="51">
        <f>I58+I59+I60</f>
        <v>642738</v>
      </c>
      <c r="P58" s="153">
        <f>L58-M58-N58-O58</f>
        <v>133850.40000000002</v>
      </c>
    </row>
    <row r="59" spans="2:16">
      <c r="B59" s="47">
        <v>46288</v>
      </c>
      <c r="C59" s="40">
        <v>33</v>
      </c>
      <c r="D59" s="40">
        <v>999</v>
      </c>
      <c r="E59" s="236"/>
      <c r="F59" s="42" t="s">
        <v>293</v>
      </c>
      <c r="G59" s="42" t="s">
        <v>763</v>
      </c>
      <c r="H59" s="37"/>
      <c r="I59" s="37">
        <v>214000</v>
      </c>
      <c r="J59" s="43">
        <f t="shared" ref="J59:J61" si="6">+J58+H59-I59</f>
        <v>1940935</v>
      </c>
      <c r="L59" s="155"/>
      <c r="M59" s="156"/>
      <c r="N59" s="156"/>
      <c r="O59" s="156"/>
      <c r="P59" s="157"/>
    </row>
    <row r="60" spans="2:16">
      <c r="B60" s="47">
        <v>46295</v>
      </c>
      <c r="C60" s="40">
        <v>34</v>
      </c>
      <c r="D60" s="40">
        <v>1051</v>
      </c>
      <c r="E60" s="236"/>
      <c r="F60" s="42" t="s">
        <v>242</v>
      </c>
      <c r="G60" s="42" t="s">
        <v>242</v>
      </c>
      <c r="H60" s="37"/>
      <c r="I60" s="37">
        <v>214164</v>
      </c>
      <c r="J60" s="43">
        <f t="shared" si="6"/>
        <v>1726771</v>
      </c>
      <c r="L60" s="155"/>
      <c r="M60" s="156"/>
      <c r="N60" s="156"/>
      <c r="O60" s="156"/>
      <c r="P60" s="157"/>
    </row>
    <row r="61" spans="2:16">
      <c r="B61" s="47"/>
      <c r="C61" s="40"/>
      <c r="D61" s="40"/>
      <c r="E61" s="40"/>
      <c r="F61" s="42"/>
      <c r="G61" s="42"/>
      <c r="H61" s="37"/>
      <c r="I61" s="37"/>
      <c r="J61" s="43">
        <f t="shared" si="6"/>
        <v>1726771</v>
      </c>
    </row>
    <row r="62" spans="2:16">
      <c r="B62" s="47"/>
      <c r="C62" s="40"/>
      <c r="D62" s="40"/>
      <c r="E62" s="40"/>
      <c r="F62" s="42"/>
      <c r="G62" s="42"/>
      <c r="H62" s="37"/>
      <c r="I62" s="37"/>
      <c r="J62" s="43">
        <f t="shared" ref="J62" si="7">+J61+H62-I62</f>
        <v>1726771</v>
      </c>
    </row>
    <row r="63" spans="2:16">
      <c r="B63" s="377" t="s">
        <v>132</v>
      </c>
      <c r="C63" s="377"/>
      <c r="D63" s="377"/>
      <c r="E63" s="377"/>
      <c r="F63" s="377"/>
      <c r="G63" s="377"/>
      <c r="H63" s="377"/>
      <c r="I63" s="377"/>
      <c r="J63" s="377"/>
    </row>
    <row r="64" spans="2:16">
      <c r="B64" s="47"/>
      <c r="C64" s="40"/>
      <c r="D64" s="40"/>
      <c r="E64" s="40"/>
      <c r="F64" s="42" t="s">
        <v>171</v>
      </c>
      <c r="G64" s="42" t="s">
        <v>171</v>
      </c>
      <c r="H64" s="37">
        <f>+SUBVENCION!U19+SUBVENCION!V19</f>
        <v>0</v>
      </c>
      <c r="I64" s="37"/>
      <c r="J64" s="43">
        <f>+J62+H64-I64</f>
        <v>1726771</v>
      </c>
      <c r="L64" s="97" t="s">
        <v>5</v>
      </c>
      <c r="M64" s="97" t="s">
        <v>214</v>
      </c>
      <c r="N64" s="97" t="s">
        <v>212</v>
      </c>
      <c r="O64" s="97" t="s">
        <v>213</v>
      </c>
      <c r="P64" s="97" t="s">
        <v>7</v>
      </c>
    </row>
    <row r="65" spans="1:16">
      <c r="B65" s="47"/>
      <c r="C65" s="40"/>
      <c r="D65" s="40"/>
      <c r="E65" s="40"/>
      <c r="F65" s="42"/>
      <c r="G65" s="42"/>
      <c r="H65" s="37"/>
      <c r="I65" s="37"/>
      <c r="J65" s="43">
        <f>+J64+H65-I65</f>
        <v>1726771</v>
      </c>
      <c r="L65" s="37">
        <f>H64</f>
        <v>0</v>
      </c>
      <c r="M65" s="51">
        <f>L65*10%</f>
        <v>0</v>
      </c>
      <c r="N65" s="51"/>
      <c r="O65" s="51">
        <f>I65+I66</f>
        <v>0</v>
      </c>
      <c r="P65" s="153">
        <f>L65-M65-N65-O65</f>
        <v>0</v>
      </c>
    </row>
    <row r="66" spans="1:16">
      <c r="B66" s="109"/>
      <c r="C66" s="40"/>
      <c r="D66" s="40"/>
      <c r="E66" s="40"/>
      <c r="F66" s="42"/>
      <c r="G66" s="42"/>
      <c r="H66" s="37"/>
      <c r="I66" s="37"/>
      <c r="J66" s="43">
        <f t="shared" ref="J66:J70" si="8">+J65+H66-I66</f>
        <v>1726771</v>
      </c>
    </row>
    <row r="67" spans="1:16">
      <c r="B67" s="47"/>
      <c r="C67" s="40"/>
      <c r="D67" s="40"/>
      <c r="E67" s="40"/>
      <c r="F67" s="42"/>
      <c r="G67" s="42"/>
      <c r="H67" s="37"/>
      <c r="I67" s="37"/>
      <c r="J67" s="43">
        <f t="shared" si="8"/>
        <v>1726771</v>
      </c>
    </row>
    <row r="68" spans="1:16">
      <c r="B68" s="47"/>
      <c r="C68" s="40"/>
      <c r="D68" s="40"/>
      <c r="E68" s="40"/>
      <c r="F68" s="42"/>
      <c r="G68" s="42" t="s">
        <v>235</v>
      </c>
      <c r="H68" s="37"/>
      <c r="I68" s="37"/>
      <c r="J68" s="43">
        <f t="shared" si="8"/>
        <v>1726771</v>
      </c>
    </row>
    <row r="69" spans="1:16">
      <c r="B69" s="47"/>
      <c r="C69" s="40"/>
      <c r="D69" s="40"/>
      <c r="E69" s="40"/>
      <c r="F69" s="42"/>
      <c r="G69" s="42"/>
      <c r="H69" s="37"/>
      <c r="I69" s="37"/>
      <c r="J69" s="43">
        <f t="shared" si="8"/>
        <v>1726771</v>
      </c>
    </row>
    <row r="70" spans="1:16">
      <c r="B70" s="47"/>
      <c r="C70" s="40"/>
      <c r="D70" s="40"/>
      <c r="E70" s="40"/>
      <c r="F70" s="42"/>
      <c r="G70" s="42"/>
      <c r="H70" s="37"/>
      <c r="I70" s="37"/>
      <c r="J70" s="43">
        <f t="shared" si="8"/>
        <v>1726771</v>
      </c>
    </row>
    <row r="71" spans="1:16">
      <c r="B71" s="377" t="s">
        <v>133</v>
      </c>
      <c r="C71" s="377"/>
      <c r="D71" s="377"/>
      <c r="E71" s="377"/>
      <c r="F71" s="377"/>
      <c r="G71" s="377"/>
      <c r="H71" s="377"/>
      <c r="I71" s="377"/>
      <c r="J71" s="377"/>
    </row>
    <row r="72" spans="1:16">
      <c r="B72" s="47"/>
      <c r="C72" s="40"/>
      <c r="D72" s="40"/>
      <c r="E72" s="40"/>
      <c r="F72" s="42" t="s">
        <v>171</v>
      </c>
      <c r="G72" s="42" t="s">
        <v>171</v>
      </c>
      <c r="H72" s="37">
        <f>+SUBVENCION!W19+SUBVENCION!X19</f>
        <v>0</v>
      </c>
      <c r="I72" s="37"/>
      <c r="J72" s="43">
        <f>+J70+H72-I72</f>
        <v>1726771</v>
      </c>
    </row>
    <row r="73" spans="1:16">
      <c r="B73" s="47"/>
      <c r="C73" s="40"/>
      <c r="D73" s="40"/>
      <c r="E73" s="40"/>
      <c r="F73" s="42"/>
      <c r="G73" s="42"/>
      <c r="H73" s="37"/>
      <c r="I73" s="37"/>
      <c r="J73" s="43">
        <f>+J72+H73-I73</f>
        <v>1726771</v>
      </c>
      <c r="L73" s="97" t="s">
        <v>5</v>
      </c>
      <c r="M73" s="97" t="s">
        <v>214</v>
      </c>
      <c r="N73" s="97" t="s">
        <v>212</v>
      </c>
      <c r="O73" s="97" t="s">
        <v>213</v>
      </c>
      <c r="P73" s="97" t="s">
        <v>7</v>
      </c>
    </row>
    <row r="74" spans="1:16">
      <c r="B74" s="47"/>
      <c r="C74" s="40"/>
      <c r="D74" s="40"/>
      <c r="E74" s="40"/>
      <c r="F74" s="42"/>
      <c r="G74" s="42"/>
      <c r="H74" s="37"/>
      <c r="I74" s="37"/>
      <c r="J74" s="43">
        <f t="shared" ref="J74:J77" si="9">+J73+H74-I74</f>
        <v>1726771</v>
      </c>
      <c r="L74" s="37">
        <f>H72</f>
        <v>0</v>
      </c>
      <c r="M74" s="51">
        <f>L74*10%</f>
        <v>0</v>
      </c>
      <c r="N74" s="51"/>
      <c r="O74" s="51"/>
      <c r="P74" s="153">
        <f>L74-M74-N74-O74</f>
        <v>0</v>
      </c>
    </row>
    <row r="75" spans="1:16">
      <c r="B75" s="47"/>
      <c r="C75" s="40"/>
      <c r="D75" s="40"/>
      <c r="E75" s="40"/>
      <c r="F75" s="45"/>
      <c r="G75" s="42"/>
      <c r="H75" s="37"/>
      <c r="I75" s="37"/>
      <c r="J75" s="43">
        <f t="shared" si="9"/>
        <v>1726771</v>
      </c>
    </row>
    <row r="76" spans="1:16">
      <c r="B76" s="47"/>
      <c r="C76" s="40"/>
      <c r="D76" s="40"/>
      <c r="E76" s="40"/>
      <c r="F76" s="42"/>
      <c r="G76" s="42"/>
      <c r="H76" s="37"/>
      <c r="I76" s="37"/>
      <c r="J76" s="43">
        <f t="shared" si="9"/>
        <v>1726771</v>
      </c>
    </row>
    <row r="77" spans="1:16">
      <c r="A77" s="35"/>
      <c r="B77" s="41"/>
      <c r="C77" s="42"/>
      <c r="D77" s="42"/>
      <c r="E77" s="42"/>
      <c r="F77" s="45"/>
      <c r="G77" s="42"/>
      <c r="H77" s="37"/>
      <c r="I77" s="37"/>
      <c r="J77" s="43">
        <f t="shared" si="9"/>
        <v>1726771</v>
      </c>
    </row>
    <row r="78" spans="1:16">
      <c r="A78" s="35"/>
      <c r="B78" s="320" t="s">
        <v>134</v>
      </c>
      <c r="C78" s="321"/>
      <c r="D78" s="321"/>
      <c r="E78" s="321"/>
      <c r="F78" s="321"/>
      <c r="G78" s="321"/>
      <c r="H78" s="321"/>
      <c r="I78" s="321"/>
      <c r="J78" s="322"/>
    </row>
    <row r="79" spans="1:16">
      <c r="A79" s="35"/>
      <c r="B79" s="47"/>
      <c r="C79" s="40"/>
      <c r="D79" s="40"/>
      <c r="E79" s="40"/>
      <c r="F79" s="42" t="s">
        <v>171</v>
      </c>
      <c r="G79" s="42" t="s">
        <v>171</v>
      </c>
      <c r="H79" s="37">
        <f>+SUBVENCION!Y19+SUBVENCION!Z19</f>
        <v>0</v>
      </c>
      <c r="I79" s="37"/>
      <c r="J79" s="43">
        <f>+J77+H79-I79</f>
        <v>1726771</v>
      </c>
      <c r="L79" s="97" t="s">
        <v>5</v>
      </c>
      <c r="M79" s="97" t="s">
        <v>214</v>
      </c>
      <c r="N79" s="97" t="s">
        <v>212</v>
      </c>
      <c r="O79" s="97" t="s">
        <v>213</v>
      </c>
      <c r="P79" s="97" t="s">
        <v>7</v>
      </c>
    </row>
    <row r="80" spans="1:16">
      <c r="A80" s="35"/>
      <c r="B80" s="47"/>
      <c r="C80" s="40"/>
      <c r="D80" s="40"/>
      <c r="E80" s="40"/>
      <c r="F80" s="42"/>
      <c r="G80" s="42"/>
      <c r="H80" s="37"/>
      <c r="I80" s="37"/>
      <c r="J80" s="43">
        <f>+J79+H80-I80</f>
        <v>1726771</v>
      </c>
      <c r="L80" s="37">
        <f>H79</f>
        <v>0</v>
      </c>
      <c r="M80" s="51">
        <f>L80*10%</f>
        <v>0</v>
      </c>
      <c r="N80" s="51"/>
      <c r="O80" s="51"/>
      <c r="P80" s="153">
        <f>L80-M80-N80-O80</f>
        <v>0</v>
      </c>
    </row>
    <row r="81" spans="1:16">
      <c r="A81" s="35"/>
      <c r="B81" s="47"/>
      <c r="C81" s="40"/>
      <c r="D81" s="40"/>
      <c r="E81" s="40"/>
      <c r="F81" s="42"/>
      <c r="G81" s="42"/>
      <c r="H81" s="37"/>
      <c r="I81" s="37"/>
      <c r="J81" s="43">
        <f t="shared" ref="J81:J87" si="10">+J80+H81-I81</f>
        <v>1726771</v>
      </c>
    </row>
    <row r="82" spans="1:16">
      <c r="A82" s="35"/>
      <c r="B82" s="47"/>
      <c r="C82" s="40"/>
      <c r="D82" s="40"/>
      <c r="E82" s="40"/>
      <c r="F82" s="42"/>
      <c r="G82" s="42"/>
      <c r="H82" s="37"/>
      <c r="I82" s="37"/>
      <c r="J82" s="43">
        <f t="shared" si="10"/>
        <v>1726771</v>
      </c>
    </row>
    <row r="83" spans="1:16">
      <c r="A83" s="35"/>
      <c r="B83" s="47"/>
      <c r="C83" s="40"/>
      <c r="D83" s="40"/>
      <c r="E83" s="40"/>
      <c r="F83" s="40"/>
      <c r="G83" s="42"/>
      <c r="H83" s="37"/>
      <c r="I83" s="37"/>
      <c r="J83" s="43">
        <f t="shared" si="10"/>
        <v>1726771</v>
      </c>
    </row>
    <row r="84" spans="1:16">
      <c r="A84" s="35"/>
      <c r="B84" s="47"/>
      <c r="C84" s="40"/>
      <c r="D84" s="40"/>
      <c r="E84" s="40"/>
      <c r="F84" s="40"/>
      <c r="G84" s="42"/>
      <c r="H84" s="37"/>
      <c r="I84" s="37"/>
      <c r="J84" s="43">
        <f t="shared" si="10"/>
        <v>1726771</v>
      </c>
    </row>
    <row r="85" spans="1:16">
      <c r="A85" s="35"/>
      <c r="B85" s="47"/>
      <c r="C85" s="40"/>
      <c r="D85" s="40"/>
      <c r="E85" s="40"/>
      <c r="F85" s="40"/>
      <c r="G85" s="42"/>
      <c r="H85" s="37"/>
      <c r="I85" s="37"/>
      <c r="J85" s="43">
        <f t="shared" si="10"/>
        <v>1726771</v>
      </c>
    </row>
    <row r="86" spans="1:16">
      <c r="A86" s="35"/>
      <c r="B86" s="47"/>
      <c r="C86" s="40"/>
      <c r="D86" s="40"/>
      <c r="E86" s="40"/>
      <c r="F86" s="40"/>
      <c r="G86" s="42"/>
      <c r="H86" s="37"/>
      <c r="I86" s="37"/>
      <c r="J86" s="43">
        <f t="shared" si="10"/>
        <v>1726771</v>
      </c>
    </row>
    <row r="87" spans="1:16">
      <c r="A87" s="35"/>
      <c r="B87" s="47"/>
      <c r="C87" s="40"/>
      <c r="D87" s="40"/>
      <c r="E87" s="40"/>
      <c r="F87" s="42" t="s">
        <v>201</v>
      </c>
      <c r="G87" s="42" t="s">
        <v>135</v>
      </c>
      <c r="H87" s="37">
        <f>(H11+H13+H15+H21+H33+H38+H45+H51+H57+H64+H72+H79)*-10%</f>
        <v>-781878</v>
      </c>
      <c r="I87" s="37"/>
      <c r="J87" s="43">
        <f t="shared" si="10"/>
        <v>944893</v>
      </c>
      <c r="L87" s="97" t="s">
        <v>5</v>
      </c>
      <c r="M87" s="97" t="s">
        <v>214</v>
      </c>
      <c r="N87" s="97" t="s">
        <v>212</v>
      </c>
      <c r="O87" s="97" t="s">
        <v>213</v>
      </c>
      <c r="P87" s="97" t="s">
        <v>7</v>
      </c>
    </row>
    <row r="88" spans="1:16">
      <c r="A88" s="48"/>
      <c r="B88" s="46" t="s">
        <v>8</v>
      </c>
      <c r="C88" s="97" t="s">
        <v>8</v>
      </c>
      <c r="D88" s="97"/>
      <c r="E88" s="97"/>
      <c r="F88" s="97"/>
      <c r="G88" s="55" t="s">
        <v>9</v>
      </c>
      <c r="H88" s="38">
        <f>SUM(H9:H87)</f>
        <v>6858948</v>
      </c>
      <c r="I88" s="38">
        <f>SUM(I11:I87)</f>
        <v>5914055</v>
      </c>
      <c r="J88" s="38">
        <f>+H88-I88</f>
        <v>944893</v>
      </c>
      <c r="L88" s="37">
        <f>+H11+H13+H15+H21+H33+H38+H45+H51+H57+H64+H72+H79</f>
        <v>7818780</v>
      </c>
      <c r="M88" s="51">
        <f>+L88*10%</f>
        <v>781878</v>
      </c>
      <c r="N88" s="51">
        <v>0</v>
      </c>
      <c r="O88" s="51">
        <f>+I16+I17+I18+I22+I23+I24+I25+I26+I27+I28+I29+I30+I34+I35+I36+I39+I40+I41+I42+I46+I47+I48+I49+I52+I53+I54+I58+I59+I60</f>
        <v>5914055</v>
      </c>
      <c r="P88" s="153">
        <f>+L88-M88-N88-O88</f>
        <v>1122847</v>
      </c>
    </row>
    <row r="91" spans="1:16">
      <c r="L91" s="181">
        <f t="shared" ref="L91:O91" si="11">L11+L13+L16+L22+L34+L39+L46+L52+L58+L65+L74+L80</f>
        <v>7818780</v>
      </c>
      <c r="M91" s="181">
        <f t="shared" si="11"/>
        <v>781878</v>
      </c>
      <c r="N91" s="181">
        <f t="shared" si="11"/>
        <v>0</v>
      </c>
      <c r="O91" s="181">
        <f t="shared" si="11"/>
        <v>5914055</v>
      </c>
      <c r="P91" s="181">
        <f>P11+P13+P16+P22+P34+P39+P46+P52+P58+P65+P74+P80</f>
        <v>1122847</v>
      </c>
    </row>
    <row r="93" spans="1:16">
      <c r="G93" s="87" t="s">
        <v>210</v>
      </c>
      <c r="H93" s="97" t="s">
        <v>5</v>
      </c>
      <c r="I93" s="97" t="s">
        <v>6</v>
      </c>
      <c r="J93" s="97" t="s">
        <v>198</v>
      </c>
      <c r="L93" s="181"/>
      <c r="P93" s="50"/>
    </row>
    <row r="94" spans="1:16">
      <c r="H94" s="144">
        <f>+H88</f>
        <v>6858948</v>
      </c>
      <c r="I94" s="43">
        <f>+I88</f>
        <v>5914055</v>
      </c>
      <c r="J94" s="143">
        <f>+I94*100/H94</f>
        <v>86.223936965260563</v>
      </c>
    </row>
  </sheetData>
  <autoFilter ref="A8:J88" xr:uid="{00000000-0009-0000-0000-00000B000000}"/>
  <mergeCells count="18">
    <mergeCell ref="B2:J2"/>
    <mergeCell ref="B3:J3"/>
    <mergeCell ref="B10:J10"/>
    <mergeCell ref="B12:J12"/>
    <mergeCell ref="B14:J14"/>
    <mergeCell ref="B4:J4"/>
    <mergeCell ref="B5:J5"/>
    <mergeCell ref="B6:J6"/>
    <mergeCell ref="B7:J7"/>
    <mergeCell ref="B20:J20"/>
    <mergeCell ref="B50:J50"/>
    <mergeCell ref="B44:J44"/>
    <mergeCell ref="B78:J78"/>
    <mergeCell ref="B37:J37"/>
    <mergeCell ref="B32:J32"/>
    <mergeCell ref="B71:J71"/>
    <mergeCell ref="B63:J63"/>
    <mergeCell ref="B56:J56"/>
  </mergeCells>
  <conditionalFormatting sqref="B20 H51:J55 H72:J77">
    <cfRule type="cellIs" dxfId="110" priority="3" operator="lessThan">
      <formula>0</formula>
    </cfRule>
  </conditionalFormatting>
  <conditionalFormatting sqref="B32 H38:J43 H45:J49 H95:J1048576">
    <cfRule type="cellIs" dxfId="109" priority="10" operator="lessThan">
      <formula>0</formula>
    </cfRule>
  </conditionalFormatting>
  <conditionalFormatting sqref="B37">
    <cfRule type="cellIs" dxfId="108" priority="8" operator="lessThan">
      <formula>0</formula>
    </cfRule>
  </conditionalFormatting>
  <conditionalFormatting sqref="B44">
    <cfRule type="cellIs" dxfId="107" priority="7" operator="lessThan">
      <formula>0</formula>
    </cfRule>
  </conditionalFormatting>
  <conditionalFormatting sqref="H1:J19">
    <cfRule type="cellIs" dxfId="106" priority="1" operator="lessThan">
      <formula>0</formula>
    </cfRule>
  </conditionalFormatting>
  <conditionalFormatting sqref="H21:J31">
    <cfRule type="cellIs" dxfId="105" priority="2" operator="lessThan">
      <formula>0</formula>
    </cfRule>
  </conditionalFormatting>
  <conditionalFormatting sqref="H57:J62 H64:J70 H79:J92">
    <cfRule type="cellIs" dxfId="104" priority="6" operator="lessThan">
      <formula>0</formula>
    </cfRule>
  </conditionalFormatting>
  <pageMargins left="1.1023622047244095" right="0.70866141732283472" top="0.35433070866141736" bottom="0.35433070866141736" header="0.31496062992125984" footer="0.31496062992125984"/>
  <pageSetup paperSize="14" scale="4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108"/>
  <sheetViews>
    <sheetView showGridLines="0" topLeftCell="B60" zoomScaleNormal="100" workbookViewId="0">
      <selection activeCell="P108" sqref="P108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1.42578125" style="44"/>
    <col min="6" max="6" width="22.7109375" style="44" bestFit="1" customWidth="1"/>
    <col min="7" max="7" width="28" style="44" customWidth="1"/>
    <col min="8" max="12" width="11.42578125" style="44"/>
    <col min="13" max="13" width="11.42578125" style="50"/>
    <col min="14" max="16384" width="11.42578125" style="44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6">
      <c r="A2" s="35"/>
      <c r="B2" s="334" t="s">
        <v>223</v>
      </c>
      <c r="C2" s="334"/>
      <c r="D2" s="334"/>
      <c r="E2" s="334"/>
      <c r="F2" s="334"/>
      <c r="G2" s="334"/>
      <c r="H2" s="334"/>
      <c r="I2" s="334"/>
      <c r="J2" s="334"/>
    </row>
    <row r="3" spans="1:16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</row>
    <row r="4" spans="1:16">
      <c r="A4" s="35"/>
      <c r="B4" s="114" t="s">
        <v>13</v>
      </c>
      <c r="C4" s="97"/>
      <c r="D4" s="97"/>
      <c r="E4" s="97"/>
      <c r="F4" s="97"/>
      <c r="G4" s="56"/>
      <c r="H4" s="38"/>
      <c r="I4" s="38"/>
      <c r="J4" s="38"/>
    </row>
    <row r="5" spans="1:16">
      <c r="A5" s="35"/>
      <c r="B5" s="114" t="s">
        <v>673</v>
      </c>
      <c r="C5" s="97"/>
      <c r="D5" s="97"/>
      <c r="E5" s="97"/>
      <c r="F5" s="97"/>
      <c r="G5" s="56"/>
      <c r="H5" s="38"/>
      <c r="I5" s="38"/>
      <c r="J5" s="38"/>
    </row>
    <row r="6" spans="1:16">
      <c r="A6" s="35"/>
      <c r="B6" s="46" t="s">
        <v>3</v>
      </c>
      <c r="C6" s="97" t="s">
        <v>11</v>
      </c>
      <c r="D6" s="97" t="s">
        <v>10</v>
      </c>
      <c r="E6" s="97" t="s">
        <v>16</v>
      </c>
      <c r="F6" s="97" t="s">
        <v>70</v>
      </c>
      <c r="G6" s="97" t="s">
        <v>4</v>
      </c>
      <c r="H6" s="36" t="s">
        <v>5</v>
      </c>
      <c r="I6" s="36" t="s">
        <v>6</v>
      </c>
      <c r="J6" s="36" t="s">
        <v>7</v>
      </c>
    </row>
    <row r="7" spans="1:16">
      <c r="A7" s="35"/>
      <c r="B7" s="41"/>
      <c r="C7" s="42"/>
      <c r="D7" s="42"/>
      <c r="E7" s="42"/>
      <c r="F7" s="42"/>
      <c r="G7" s="42" t="s">
        <v>237</v>
      </c>
      <c r="H7" s="52">
        <v>5298959</v>
      </c>
      <c r="I7" s="52"/>
      <c r="J7" s="112">
        <f>+H7-I7</f>
        <v>5298959</v>
      </c>
    </row>
    <row r="8" spans="1:16" s="49" customFormat="1">
      <c r="A8" s="48"/>
      <c r="B8" s="330" t="s">
        <v>66</v>
      </c>
      <c r="C8" s="331"/>
      <c r="D8" s="331"/>
      <c r="E8" s="331"/>
      <c r="F8" s="331"/>
      <c r="G8" s="331"/>
      <c r="H8" s="331"/>
      <c r="I8" s="331"/>
      <c r="J8" s="332"/>
      <c r="K8" s="49" t="s">
        <v>90</v>
      </c>
      <c r="L8" s="97" t="s">
        <v>5</v>
      </c>
      <c r="M8" s="36" t="s">
        <v>214</v>
      </c>
      <c r="N8" s="97" t="s">
        <v>212</v>
      </c>
      <c r="O8" s="97" t="s">
        <v>213</v>
      </c>
      <c r="P8" s="97" t="s">
        <v>7</v>
      </c>
    </row>
    <row r="9" spans="1:16">
      <c r="A9" s="35"/>
      <c r="B9" s="41"/>
      <c r="C9" s="42"/>
      <c r="D9" s="42"/>
      <c r="E9" s="42"/>
      <c r="F9" s="42" t="s">
        <v>171</v>
      </c>
      <c r="G9" s="42" t="s">
        <v>171</v>
      </c>
      <c r="H9" s="37">
        <f>SUBVENCION!C20+SUBVENCION!D20</f>
        <v>1225815</v>
      </c>
      <c r="I9" s="37"/>
      <c r="J9" s="43">
        <f>+J7+H9-I9</f>
        <v>6524774</v>
      </c>
      <c r="L9" s="115">
        <f>H9</f>
        <v>1225815</v>
      </c>
      <c r="M9" s="101">
        <f>L9*10%</f>
        <v>122581.5</v>
      </c>
      <c r="N9" s="115">
        <f>I10</f>
        <v>203856</v>
      </c>
      <c r="O9" s="115">
        <f>I11</f>
        <v>0</v>
      </c>
      <c r="P9" s="115">
        <f>L9-M9-N9-O9</f>
        <v>899377.5</v>
      </c>
    </row>
    <row r="10" spans="1:16">
      <c r="A10" s="35"/>
      <c r="B10" s="41"/>
      <c r="C10" s="42"/>
      <c r="D10" s="42"/>
      <c r="E10" s="42"/>
      <c r="F10" s="42" t="s">
        <v>199</v>
      </c>
      <c r="G10" s="42" t="s">
        <v>199</v>
      </c>
      <c r="H10" s="37"/>
      <c r="I10" s="37">
        <v>203856</v>
      </c>
      <c r="J10" s="43">
        <f>+J9+H10-I10</f>
        <v>6320918</v>
      </c>
    </row>
    <row r="11" spans="1:16">
      <c r="A11" s="35"/>
      <c r="B11" s="41"/>
      <c r="C11" s="42"/>
      <c r="D11" s="42"/>
      <c r="E11" s="42"/>
      <c r="F11" s="42"/>
      <c r="G11" s="42"/>
      <c r="H11" s="37"/>
      <c r="I11" s="37"/>
      <c r="J11" s="43">
        <f t="shared" ref="J11" si="0">+J10+H11-I11</f>
        <v>6320918</v>
      </c>
    </row>
    <row r="12" spans="1:16" s="49" customFormat="1">
      <c r="A12" s="48"/>
      <c r="B12" s="330" t="s">
        <v>67</v>
      </c>
      <c r="C12" s="331"/>
      <c r="D12" s="331"/>
      <c r="E12" s="331"/>
      <c r="F12" s="331"/>
      <c r="G12" s="331"/>
      <c r="H12" s="331"/>
      <c r="I12" s="331"/>
      <c r="J12" s="332"/>
      <c r="M12" s="190"/>
    </row>
    <row r="13" spans="1:16">
      <c r="A13" s="35"/>
      <c r="B13" s="41"/>
      <c r="C13" s="42"/>
      <c r="D13" s="42"/>
      <c r="E13" s="42"/>
      <c r="F13" s="42" t="s">
        <v>171</v>
      </c>
      <c r="G13" s="42" t="s">
        <v>171</v>
      </c>
      <c r="H13" s="37">
        <f>SUBVENCION!E20+SUBVENCION!F20</f>
        <v>1236346</v>
      </c>
      <c r="I13" s="37"/>
      <c r="J13" s="43">
        <f>+J11+H13-I13</f>
        <v>7557264</v>
      </c>
      <c r="K13" s="44" t="s">
        <v>67</v>
      </c>
      <c r="L13" s="97" t="s">
        <v>5</v>
      </c>
      <c r="M13" s="36" t="s">
        <v>214</v>
      </c>
      <c r="N13" s="97" t="s">
        <v>212</v>
      </c>
      <c r="O13" s="97" t="s">
        <v>213</v>
      </c>
      <c r="P13" s="97" t="s">
        <v>7</v>
      </c>
    </row>
    <row r="14" spans="1:16">
      <c r="A14" s="35"/>
      <c r="B14" s="41"/>
      <c r="C14" s="42"/>
      <c r="D14" s="42"/>
      <c r="E14" s="42"/>
      <c r="F14" s="42" t="s">
        <v>199</v>
      </c>
      <c r="G14" s="42" t="s">
        <v>199</v>
      </c>
      <c r="H14" s="37"/>
      <c r="I14" s="37">
        <v>207948</v>
      </c>
      <c r="J14" s="43">
        <f>+J13+H14-I14</f>
        <v>7349316</v>
      </c>
      <c r="L14" s="115">
        <f>H13</f>
        <v>1236346</v>
      </c>
      <c r="M14" s="101">
        <f>L14*10%</f>
        <v>123634.6</v>
      </c>
      <c r="N14" s="115">
        <f>I14</f>
        <v>207948</v>
      </c>
      <c r="O14" s="127">
        <v>0</v>
      </c>
      <c r="P14" s="115">
        <f>L14-M14-N14</f>
        <v>904763.39999999991</v>
      </c>
    </row>
    <row r="15" spans="1:16" s="49" customFormat="1">
      <c r="A15" s="48"/>
      <c r="B15" s="330" t="s">
        <v>68</v>
      </c>
      <c r="C15" s="331"/>
      <c r="D15" s="331"/>
      <c r="E15" s="331"/>
      <c r="F15" s="331"/>
      <c r="G15" s="331"/>
      <c r="H15" s="331"/>
      <c r="I15" s="331"/>
      <c r="J15" s="332"/>
      <c r="M15" s="190"/>
    </row>
    <row r="16" spans="1:16">
      <c r="A16" s="35"/>
      <c r="B16" s="41"/>
      <c r="C16" s="42"/>
      <c r="D16" s="42"/>
      <c r="E16" s="42"/>
      <c r="F16" s="42" t="s">
        <v>171</v>
      </c>
      <c r="G16" s="42" t="s">
        <v>171</v>
      </c>
      <c r="H16" s="37">
        <f>SUBVENCION!G20+SUBVENCION!H20</f>
        <v>1229349</v>
      </c>
      <c r="I16" s="37"/>
      <c r="J16" s="43">
        <f>+J14+H16-I16</f>
        <v>8578665</v>
      </c>
      <c r="K16" s="44" t="s">
        <v>224</v>
      </c>
      <c r="L16" s="97" t="s">
        <v>5</v>
      </c>
      <c r="M16" s="36" t="s">
        <v>214</v>
      </c>
      <c r="N16" s="97" t="s">
        <v>212</v>
      </c>
      <c r="O16" s="97" t="s">
        <v>213</v>
      </c>
      <c r="P16" s="97" t="s">
        <v>7</v>
      </c>
    </row>
    <row r="17" spans="2:16">
      <c r="B17" s="41"/>
      <c r="C17" s="42"/>
      <c r="D17" s="42"/>
      <c r="E17" s="42"/>
      <c r="F17" s="42" t="s">
        <v>199</v>
      </c>
      <c r="G17" s="42" t="s">
        <v>199</v>
      </c>
      <c r="H17" s="37"/>
      <c r="I17" s="37">
        <v>207948</v>
      </c>
      <c r="J17" s="43">
        <f>+J16+H17-I17</f>
        <v>8370717</v>
      </c>
      <c r="L17" s="115">
        <f>H16</f>
        <v>1229349</v>
      </c>
      <c r="M17" s="101">
        <f>L17*10%</f>
        <v>122934.90000000001</v>
      </c>
      <c r="N17" s="115">
        <f>I17</f>
        <v>207948</v>
      </c>
      <c r="O17" s="115">
        <f>I18+I19+I20+I21+I22+I23+I24</f>
        <v>1394372</v>
      </c>
      <c r="P17" s="115">
        <f>L17-M17-N17-O17</f>
        <v>-495905.89999999991</v>
      </c>
    </row>
    <row r="18" spans="2:16">
      <c r="B18" s="41">
        <v>46086</v>
      </c>
      <c r="C18" s="42">
        <v>5</v>
      </c>
      <c r="D18" s="42">
        <v>70</v>
      </c>
      <c r="E18" s="42">
        <v>391</v>
      </c>
      <c r="F18" s="42" t="s">
        <v>267</v>
      </c>
      <c r="G18" s="42" t="s">
        <v>240</v>
      </c>
      <c r="H18" s="37"/>
      <c r="I18" s="37">
        <v>204536</v>
      </c>
      <c r="J18" s="43">
        <f t="shared" ref="J18:J26" si="1">+J17+H18-I18</f>
        <v>8166181</v>
      </c>
    </row>
    <row r="19" spans="2:16">
      <c r="B19" s="41">
        <v>45725</v>
      </c>
      <c r="C19" s="42">
        <v>4</v>
      </c>
      <c r="D19" s="42">
        <v>71</v>
      </c>
      <c r="E19" s="42">
        <v>382</v>
      </c>
      <c r="F19" s="42" t="s">
        <v>267</v>
      </c>
      <c r="G19" s="42" t="s">
        <v>240</v>
      </c>
      <c r="H19" s="37"/>
      <c r="I19" s="37">
        <v>208430</v>
      </c>
      <c r="J19" s="43">
        <f t="shared" si="1"/>
        <v>7957751</v>
      </c>
    </row>
    <row r="20" spans="2:16">
      <c r="B20" s="41">
        <v>46086</v>
      </c>
      <c r="C20" s="42">
        <v>2</v>
      </c>
      <c r="D20" s="42">
        <v>83</v>
      </c>
      <c r="E20" s="42">
        <v>385</v>
      </c>
      <c r="F20" s="42" t="s">
        <v>293</v>
      </c>
      <c r="G20" s="42" t="s">
        <v>294</v>
      </c>
      <c r="H20" s="37"/>
      <c r="I20" s="37">
        <v>208548</v>
      </c>
      <c r="J20" s="43">
        <f t="shared" si="1"/>
        <v>7749203</v>
      </c>
    </row>
    <row r="21" spans="2:16">
      <c r="B21" s="41">
        <v>46108</v>
      </c>
      <c r="C21" s="42">
        <v>6</v>
      </c>
      <c r="D21" s="42">
        <v>181</v>
      </c>
      <c r="E21" s="42">
        <v>600</v>
      </c>
      <c r="F21" s="42" t="s">
        <v>242</v>
      </c>
      <c r="G21" s="42" t="s">
        <v>242</v>
      </c>
      <c r="H21" s="37"/>
      <c r="I21" s="37">
        <v>208678</v>
      </c>
      <c r="J21" s="43">
        <f t="shared" si="1"/>
        <v>7540525</v>
      </c>
    </row>
    <row r="22" spans="2:16">
      <c r="B22" s="41">
        <v>46110</v>
      </c>
      <c r="C22" s="42">
        <v>7</v>
      </c>
      <c r="D22" s="42">
        <v>200</v>
      </c>
      <c r="E22" s="42">
        <v>747</v>
      </c>
      <c r="F22" s="42" t="s">
        <v>242</v>
      </c>
      <c r="G22" s="42" t="s">
        <v>242</v>
      </c>
      <c r="H22" s="37"/>
      <c r="I22" s="37">
        <v>172810</v>
      </c>
      <c r="J22" s="43">
        <f t="shared" si="1"/>
        <v>7367715</v>
      </c>
    </row>
    <row r="23" spans="2:16">
      <c r="B23" s="41">
        <v>46110</v>
      </c>
      <c r="C23" s="42">
        <v>8</v>
      </c>
      <c r="D23" s="42">
        <v>201</v>
      </c>
      <c r="E23" s="42">
        <v>431</v>
      </c>
      <c r="F23" s="42" t="s">
        <v>267</v>
      </c>
      <c r="G23" s="42" t="s">
        <v>240</v>
      </c>
      <c r="H23" s="37"/>
      <c r="I23" s="37">
        <v>209300</v>
      </c>
      <c r="J23" s="43">
        <f t="shared" si="1"/>
        <v>7158415</v>
      </c>
    </row>
    <row r="24" spans="2:16">
      <c r="B24" s="41">
        <v>46111</v>
      </c>
      <c r="C24" s="42">
        <v>12</v>
      </c>
      <c r="D24" s="42">
        <v>205</v>
      </c>
      <c r="E24" s="42">
        <v>430</v>
      </c>
      <c r="F24" s="42" t="s">
        <v>309</v>
      </c>
      <c r="G24" s="42" t="s">
        <v>309</v>
      </c>
      <c r="H24" s="37"/>
      <c r="I24" s="37">
        <v>182070</v>
      </c>
      <c r="J24" s="43">
        <f t="shared" si="1"/>
        <v>6976345</v>
      </c>
    </row>
    <row r="25" spans="2:16">
      <c r="B25" s="41"/>
      <c r="C25" s="42"/>
      <c r="D25" s="42"/>
      <c r="E25" s="42"/>
      <c r="F25" s="42"/>
      <c r="G25" s="42"/>
      <c r="H25" s="37"/>
      <c r="I25" s="37"/>
      <c r="J25" s="43">
        <f t="shared" si="1"/>
        <v>6976345</v>
      </c>
    </row>
    <row r="26" spans="2:16">
      <c r="B26" s="41"/>
      <c r="C26" s="42"/>
      <c r="D26" s="42"/>
      <c r="E26" s="42"/>
      <c r="F26" s="42"/>
      <c r="G26" s="42"/>
      <c r="H26" s="37"/>
      <c r="I26" s="37"/>
      <c r="J26" s="43">
        <f t="shared" si="1"/>
        <v>6976345</v>
      </c>
    </row>
    <row r="27" spans="2:16" s="49" customFormat="1">
      <c r="B27" s="330" t="s">
        <v>69</v>
      </c>
      <c r="C27" s="331"/>
      <c r="D27" s="331"/>
      <c r="E27" s="331"/>
      <c r="F27" s="331"/>
      <c r="G27" s="331"/>
      <c r="H27" s="331"/>
      <c r="I27" s="331"/>
      <c r="J27" s="332"/>
      <c r="M27" s="190"/>
    </row>
    <row r="28" spans="2:16">
      <c r="B28" s="41"/>
      <c r="C28" s="42"/>
      <c r="D28" s="42"/>
      <c r="E28" s="42"/>
      <c r="F28" s="42" t="s">
        <v>171</v>
      </c>
      <c r="G28" s="42" t="s">
        <v>171</v>
      </c>
      <c r="H28" s="37">
        <f>SUBVENCION!I20+SUBVENCION!J20</f>
        <v>1205332</v>
      </c>
      <c r="I28" s="37"/>
      <c r="J28" s="43">
        <f>+J26+H28-I28</f>
        <v>8181677</v>
      </c>
      <c r="K28" s="44" t="s">
        <v>128</v>
      </c>
      <c r="L28" s="97" t="s">
        <v>5</v>
      </c>
      <c r="M28" s="36" t="s">
        <v>214</v>
      </c>
      <c r="N28" s="97" t="s">
        <v>212</v>
      </c>
      <c r="O28" s="97" t="s">
        <v>213</v>
      </c>
      <c r="P28" s="97" t="s">
        <v>7</v>
      </c>
    </row>
    <row r="29" spans="2:16">
      <c r="B29" s="41"/>
      <c r="C29" s="42"/>
      <c r="D29" s="42"/>
      <c r="E29" s="42"/>
      <c r="F29" s="42" t="s">
        <v>199</v>
      </c>
      <c r="G29" s="42" t="s">
        <v>199</v>
      </c>
      <c r="H29" s="37"/>
      <c r="I29" s="37">
        <v>208309</v>
      </c>
      <c r="J29" s="43">
        <f>+J28+H29-I29</f>
        <v>7973368</v>
      </c>
      <c r="L29" s="115">
        <f>H28</f>
        <v>1205332</v>
      </c>
      <c r="M29" s="101">
        <f>L29*10%</f>
        <v>120533.20000000001</v>
      </c>
      <c r="N29" s="115">
        <f>I29</f>
        <v>208309</v>
      </c>
      <c r="O29" s="115">
        <f>+I30+I31+I32+I33</f>
        <v>829042</v>
      </c>
      <c r="P29" s="115">
        <f>L29-M29-N29-O29</f>
        <v>47447.800000000047</v>
      </c>
    </row>
    <row r="30" spans="2:16">
      <c r="B30" s="41">
        <v>46113</v>
      </c>
      <c r="C30" s="42">
        <v>13</v>
      </c>
      <c r="D30" s="42">
        <v>210</v>
      </c>
      <c r="E30" s="42">
        <v>432</v>
      </c>
      <c r="F30" s="42" t="s">
        <v>219</v>
      </c>
      <c r="G30" s="42" t="s">
        <v>222</v>
      </c>
      <c r="H30" s="37"/>
      <c r="I30" s="37">
        <v>207000</v>
      </c>
      <c r="J30" s="43">
        <f t="shared" ref="J30:J34" si="2">+J29+H30-I30</f>
        <v>7766368</v>
      </c>
    </row>
    <row r="31" spans="2:16">
      <c r="B31" s="41">
        <v>46128</v>
      </c>
      <c r="C31" s="42">
        <v>14</v>
      </c>
      <c r="D31" s="42">
        <v>293</v>
      </c>
      <c r="E31" s="42">
        <v>576</v>
      </c>
      <c r="F31" s="42" t="s">
        <v>267</v>
      </c>
      <c r="G31" s="42" t="s">
        <v>240</v>
      </c>
      <c r="H31" s="37"/>
      <c r="I31" s="37">
        <v>207000</v>
      </c>
      <c r="J31" s="43">
        <f t="shared" si="2"/>
        <v>7559368</v>
      </c>
    </row>
    <row r="32" spans="2:16">
      <c r="B32" s="41">
        <v>46132</v>
      </c>
      <c r="C32" s="42">
        <v>15</v>
      </c>
      <c r="D32" s="42">
        <v>314</v>
      </c>
      <c r="E32" s="42">
        <v>600</v>
      </c>
      <c r="F32" s="42" t="s">
        <v>242</v>
      </c>
      <c r="G32" s="42" t="s">
        <v>242</v>
      </c>
      <c r="H32" s="37"/>
      <c r="I32" s="37">
        <v>208678</v>
      </c>
      <c r="J32" s="43">
        <f t="shared" si="2"/>
        <v>7350690</v>
      </c>
    </row>
    <row r="33" spans="2:17">
      <c r="B33" s="41">
        <v>46133</v>
      </c>
      <c r="C33" s="42">
        <v>16</v>
      </c>
      <c r="D33" s="42">
        <v>332</v>
      </c>
      <c r="E33" s="42">
        <v>599</v>
      </c>
      <c r="F33" s="42" t="s">
        <v>242</v>
      </c>
      <c r="G33" s="42" t="s">
        <v>242</v>
      </c>
      <c r="H33" s="37"/>
      <c r="I33" s="37">
        <v>206364</v>
      </c>
      <c r="J33" s="43">
        <f t="shared" si="2"/>
        <v>7144326</v>
      </c>
      <c r="Q33" s="104"/>
    </row>
    <row r="34" spans="2:17">
      <c r="B34" s="41"/>
      <c r="C34" s="42"/>
      <c r="D34" s="42"/>
      <c r="E34" s="42"/>
      <c r="F34" s="42"/>
      <c r="G34" s="45"/>
      <c r="H34" s="37"/>
      <c r="I34" s="37"/>
      <c r="J34" s="43">
        <f t="shared" si="2"/>
        <v>7144326</v>
      </c>
    </row>
    <row r="35" spans="2:17">
      <c r="B35" s="330" t="s">
        <v>120</v>
      </c>
      <c r="C35" s="331"/>
      <c r="D35" s="331"/>
      <c r="E35" s="331"/>
      <c r="F35" s="331"/>
      <c r="G35" s="331"/>
      <c r="H35" s="331"/>
      <c r="I35" s="331"/>
      <c r="J35" s="332"/>
    </row>
    <row r="36" spans="2:17">
      <c r="B36" s="41"/>
      <c r="C36" s="42"/>
      <c r="D36" s="42"/>
      <c r="E36" s="42"/>
      <c r="F36" s="42" t="s">
        <v>171</v>
      </c>
      <c r="G36" s="42" t="s">
        <v>171</v>
      </c>
      <c r="H36" s="37">
        <f>SUBVENCION!K20+SUBVENCION!L20</f>
        <v>1211485</v>
      </c>
      <c r="I36" s="37"/>
      <c r="J36" s="43">
        <f>+J34+H36-I36</f>
        <v>8355811</v>
      </c>
      <c r="K36" s="44" t="s">
        <v>231</v>
      </c>
      <c r="L36" s="97" t="s">
        <v>5</v>
      </c>
      <c r="M36" s="36" t="s">
        <v>214</v>
      </c>
      <c r="N36" s="97" t="s">
        <v>212</v>
      </c>
      <c r="O36" s="97" t="s">
        <v>213</v>
      </c>
      <c r="P36" s="97" t="s">
        <v>7</v>
      </c>
    </row>
    <row r="37" spans="2:17">
      <c r="B37" s="41"/>
      <c r="C37" s="42"/>
      <c r="D37" s="42"/>
      <c r="E37" s="42"/>
      <c r="F37" s="42" t="s">
        <v>199</v>
      </c>
      <c r="G37" s="42" t="s">
        <v>199</v>
      </c>
      <c r="H37" s="37"/>
      <c r="I37" s="37">
        <v>214858</v>
      </c>
      <c r="J37" s="43">
        <f>+J36+H37-I37</f>
        <v>8140953</v>
      </c>
      <c r="L37" s="115">
        <f>H36</f>
        <v>1211485</v>
      </c>
      <c r="M37" s="101">
        <f>L37*10%</f>
        <v>121148.5</v>
      </c>
      <c r="N37" s="115">
        <f>I37</f>
        <v>214858</v>
      </c>
      <c r="O37" s="115">
        <f>I38+I39+I40</f>
        <v>211000</v>
      </c>
      <c r="P37" s="115">
        <f>L37-M37-N37-O37</f>
        <v>664478.5</v>
      </c>
    </row>
    <row r="38" spans="2:17">
      <c r="B38" s="41">
        <v>46167</v>
      </c>
      <c r="C38" s="42">
        <v>17</v>
      </c>
      <c r="D38" s="42">
        <v>479</v>
      </c>
      <c r="E38" s="79"/>
      <c r="F38" s="42" t="s">
        <v>267</v>
      </c>
      <c r="G38" s="42" t="s">
        <v>240</v>
      </c>
      <c r="H38" s="37"/>
      <c r="I38" s="37">
        <v>211000</v>
      </c>
      <c r="J38" s="43">
        <f>+J37+H38-I38</f>
        <v>7929953</v>
      </c>
    </row>
    <row r="39" spans="2:17">
      <c r="B39" s="41"/>
      <c r="C39" s="42"/>
      <c r="D39" s="42"/>
      <c r="E39" s="42"/>
      <c r="F39" s="42"/>
      <c r="G39" s="42"/>
      <c r="H39" s="37"/>
      <c r="I39" s="37"/>
      <c r="J39" s="43">
        <f t="shared" ref="J39:J40" si="3">+J38+H39-I39</f>
        <v>7929953</v>
      </c>
    </row>
    <row r="40" spans="2:17">
      <c r="B40" s="41"/>
      <c r="C40" s="42"/>
      <c r="D40" s="151"/>
      <c r="E40" s="151"/>
      <c r="F40" s="151"/>
      <c r="G40" s="151"/>
      <c r="H40" s="113"/>
      <c r="I40" s="113"/>
      <c r="J40" s="43">
        <f t="shared" si="3"/>
        <v>7929953</v>
      </c>
    </row>
    <row r="41" spans="2:17">
      <c r="B41" s="330" t="s">
        <v>129</v>
      </c>
      <c r="C41" s="331"/>
      <c r="D41" s="331"/>
      <c r="E41" s="331"/>
      <c r="F41" s="331"/>
      <c r="G41" s="331"/>
      <c r="H41" s="331"/>
      <c r="I41" s="331"/>
      <c r="J41" s="332"/>
    </row>
    <row r="42" spans="2:17">
      <c r="B42" s="41"/>
      <c r="C42" s="42"/>
      <c r="D42" s="42"/>
      <c r="E42" s="42"/>
      <c r="F42" s="42" t="s">
        <v>171</v>
      </c>
      <c r="G42" s="42" t="s">
        <v>171</v>
      </c>
      <c r="H42" s="37">
        <f>SUBVENCION!M20+SUBVENCION!N20</f>
        <v>1037348</v>
      </c>
      <c r="I42" s="37"/>
      <c r="J42" s="43">
        <f>+J40+H42-I42</f>
        <v>8967301</v>
      </c>
      <c r="K42" s="44" t="s">
        <v>225</v>
      </c>
      <c r="L42" s="97" t="s">
        <v>5</v>
      </c>
      <c r="M42" s="36" t="s">
        <v>214</v>
      </c>
      <c r="N42" s="97" t="s">
        <v>212</v>
      </c>
      <c r="O42" s="97" t="s">
        <v>213</v>
      </c>
      <c r="P42" s="97" t="s">
        <v>7</v>
      </c>
    </row>
    <row r="43" spans="2:17">
      <c r="B43" s="41"/>
      <c r="C43" s="42"/>
      <c r="D43" s="42"/>
      <c r="E43" s="42"/>
      <c r="F43" s="42" t="s">
        <v>199</v>
      </c>
      <c r="G43" s="42" t="s">
        <v>199</v>
      </c>
      <c r="H43" s="37"/>
      <c r="I43" s="37">
        <v>220103</v>
      </c>
      <c r="J43" s="43">
        <f>+J42+H43-I43</f>
        <v>8747198</v>
      </c>
      <c r="L43" s="115">
        <f>H42</f>
        <v>1037348</v>
      </c>
      <c r="M43" s="101">
        <f>L43*10%</f>
        <v>103734.8</v>
      </c>
      <c r="N43" s="115">
        <f>I43</f>
        <v>220103</v>
      </c>
      <c r="O43" s="115">
        <f>I44+I45</f>
        <v>320838</v>
      </c>
      <c r="P43" s="115">
        <f>L43-M43-N43-O43</f>
        <v>392672.19999999995</v>
      </c>
    </row>
    <row r="44" spans="2:17">
      <c r="B44" s="41">
        <v>46183</v>
      </c>
      <c r="C44" s="42">
        <v>18</v>
      </c>
      <c r="D44" s="42">
        <v>582</v>
      </c>
      <c r="E44" s="42">
        <v>922</v>
      </c>
      <c r="F44" s="42" t="s">
        <v>242</v>
      </c>
      <c r="G44" s="42" t="s">
        <v>242</v>
      </c>
      <c r="H44" s="37"/>
      <c r="I44" s="37">
        <v>112519</v>
      </c>
      <c r="J44" s="43">
        <f t="shared" ref="J44:J45" si="4">+J43+H44-I44</f>
        <v>8634679</v>
      </c>
    </row>
    <row r="45" spans="2:17">
      <c r="B45" s="170">
        <v>46190</v>
      </c>
      <c r="C45" s="42">
        <v>20</v>
      </c>
      <c r="D45" s="42">
        <v>600</v>
      </c>
      <c r="E45" s="42">
        <v>1032</v>
      </c>
      <c r="F45" s="42" t="s">
        <v>267</v>
      </c>
      <c r="G45" s="42" t="s">
        <v>240</v>
      </c>
      <c r="H45" s="37"/>
      <c r="I45" s="37">
        <v>208319</v>
      </c>
      <c r="J45" s="43">
        <f t="shared" si="4"/>
        <v>8426360</v>
      </c>
    </row>
    <row r="46" spans="2:17">
      <c r="B46" s="330" t="s">
        <v>65</v>
      </c>
      <c r="C46" s="331"/>
      <c r="D46" s="331"/>
      <c r="E46" s="331"/>
      <c r="F46" s="331"/>
      <c r="G46" s="331"/>
      <c r="H46" s="331"/>
      <c r="I46" s="331"/>
      <c r="J46" s="332"/>
    </row>
    <row r="47" spans="2:17">
      <c r="B47" s="41"/>
      <c r="C47" s="42"/>
      <c r="D47" s="42"/>
      <c r="E47" s="42"/>
      <c r="F47" s="42" t="s">
        <v>171</v>
      </c>
      <c r="G47" s="42" t="s">
        <v>171</v>
      </c>
      <c r="H47" s="37">
        <f>+SUBVENCION!O20+SUBVENCION!P20</f>
        <v>1205149</v>
      </c>
      <c r="I47" s="37"/>
      <c r="J47" s="110">
        <f>+J45+H47-I47</f>
        <v>9631509</v>
      </c>
      <c r="K47" s="44" t="s">
        <v>226</v>
      </c>
      <c r="L47" s="97" t="s">
        <v>5</v>
      </c>
      <c r="M47" s="36" t="s">
        <v>214</v>
      </c>
      <c r="N47" s="97" t="s">
        <v>212</v>
      </c>
      <c r="O47" s="97" t="s">
        <v>213</v>
      </c>
      <c r="P47" s="97" t="s">
        <v>7</v>
      </c>
    </row>
    <row r="48" spans="2:17">
      <c r="B48" s="41"/>
      <c r="C48" s="42"/>
      <c r="D48" s="42"/>
      <c r="E48" s="42"/>
      <c r="F48" s="42" t="s">
        <v>199</v>
      </c>
      <c r="G48" s="42" t="s">
        <v>199</v>
      </c>
      <c r="H48" s="37"/>
      <c r="I48" s="37">
        <v>212000</v>
      </c>
      <c r="J48" s="43">
        <f>+J47+H48-I48</f>
        <v>9419509</v>
      </c>
      <c r="L48" s="115">
        <f>H47</f>
        <v>1205149</v>
      </c>
      <c r="M48" s="101">
        <f>L48*10%</f>
        <v>120514.90000000001</v>
      </c>
      <c r="N48" s="115">
        <f>I48</f>
        <v>212000</v>
      </c>
      <c r="O48" s="115">
        <f>I49+I50</f>
        <v>93520</v>
      </c>
      <c r="P48" s="115">
        <f>L48-M48-N48-O48</f>
        <v>779114.10000000009</v>
      </c>
    </row>
    <row r="49" spans="1:16">
      <c r="B49" s="41">
        <v>46224</v>
      </c>
      <c r="C49" s="42">
        <v>21</v>
      </c>
      <c r="D49" s="42">
        <v>682</v>
      </c>
      <c r="E49" s="42">
        <v>1319</v>
      </c>
      <c r="F49" s="42" t="s">
        <v>250</v>
      </c>
      <c r="G49" s="42" t="s">
        <v>552</v>
      </c>
      <c r="H49" s="37"/>
      <c r="I49" s="37">
        <v>93520</v>
      </c>
      <c r="J49" s="43">
        <f t="shared" ref="J49:J50" si="5">+J48+H49-I49</f>
        <v>9325989</v>
      </c>
    </row>
    <row r="50" spans="1:16">
      <c r="B50" s="41"/>
      <c r="C50" s="42"/>
      <c r="D50" s="42"/>
      <c r="E50" s="42"/>
      <c r="F50" s="42"/>
      <c r="G50" s="45"/>
      <c r="H50" s="37"/>
      <c r="I50" s="37"/>
      <c r="J50" s="43">
        <f t="shared" si="5"/>
        <v>9325989</v>
      </c>
    </row>
    <row r="51" spans="1:16">
      <c r="B51" s="320" t="s">
        <v>130</v>
      </c>
      <c r="C51" s="321"/>
      <c r="D51" s="321"/>
      <c r="E51" s="321"/>
      <c r="F51" s="321"/>
      <c r="G51" s="321"/>
      <c r="H51" s="321"/>
      <c r="I51" s="321"/>
      <c r="J51" s="322"/>
    </row>
    <row r="52" spans="1:16">
      <c r="B52" s="41"/>
      <c r="C52" s="42"/>
      <c r="D52" s="42"/>
      <c r="E52" s="42"/>
      <c r="F52" s="42" t="s">
        <v>171</v>
      </c>
      <c r="G52" s="42" t="s">
        <v>171</v>
      </c>
      <c r="H52" s="37">
        <f>+SUBVENCION!Q20+SUBVENCION!R20</f>
        <v>1203265</v>
      </c>
      <c r="I52" s="37"/>
      <c r="J52" s="43">
        <f>+J50+H52-I52</f>
        <v>10529254</v>
      </c>
      <c r="K52" s="44" t="s">
        <v>227</v>
      </c>
      <c r="L52" s="97" t="s">
        <v>5</v>
      </c>
      <c r="M52" s="36" t="s">
        <v>214</v>
      </c>
      <c r="N52" s="97" t="s">
        <v>212</v>
      </c>
      <c r="O52" s="97" t="s">
        <v>213</v>
      </c>
      <c r="P52" s="97" t="s">
        <v>7</v>
      </c>
    </row>
    <row r="53" spans="1:16">
      <c r="B53" s="41"/>
      <c r="C53" s="42"/>
      <c r="D53" s="42"/>
      <c r="E53" s="42"/>
      <c r="F53" s="42" t="s">
        <v>199</v>
      </c>
      <c r="G53" s="42" t="s">
        <v>199</v>
      </c>
      <c r="H53" s="37"/>
      <c r="I53" s="37">
        <v>219278</v>
      </c>
      <c r="J53" s="43">
        <f>+J52+H53-I53</f>
        <v>10309976</v>
      </c>
      <c r="L53" s="115">
        <f>H52</f>
        <v>1203265</v>
      </c>
      <c r="M53" s="101">
        <f>L53*10%</f>
        <v>120326.5</v>
      </c>
      <c r="N53" s="115">
        <f>I53</f>
        <v>219278</v>
      </c>
      <c r="O53" s="115">
        <f>I54+I55+I56</f>
        <v>1162518</v>
      </c>
      <c r="P53" s="115">
        <f>L53-M53-N53-O53</f>
        <v>-298857.5</v>
      </c>
    </row>
    <row r="54" spans="1:16">
      <c r="B54" s="41">
        <v>46244</v>
      </c>
      <c r="C54" s="42">
        <v>23</v>
      </c>
      <c r="D54" s="42">
        <v>773</v>
      </c>
      <c r="E54" s="42">
        <v>1363</v>
      </c>
      <c r="F54" s="42" t="s">
        <v>250</v>
      </c>
      <c r="G54" s="42" t="s">
        <v>552</v>
      </c>
      <c r="H54" s="37"/>
      <c r="I54" s="37">
        <v>62558</v>
      </c>
      <c r="J54" s="43">
        <f t="shared" ref="J54:J55" si="6">+J53+H54-I54</f>
        <v>10247418</v>
      </c>
    </row>
    <row r="55" spans="1:16">
      <c r="B55" s="41">
        <v>46251</v>
      </c>
      <c r="C55" s="42">
        <v>24</v>
      </c>
      <c r="D55" s="42" t="s">
        <v>354</v>
      </c>
      <c r="E55" s="42"/>
      <c r="F55" s="42" t="s">
        <v>250</v>
      </c>
      <c r="G55" s="42" t="s">
        <v>654</v>
      </c>
      <c r="H55" s="37"/>
      <c r="I55" s="37">
        <v>1099960</v>
      </c>
      <c r="J55" s="43">
        <f t="shared" si="6"/>
        <v>9147458</v>
      </c>
    </row>
    <row r="56" spans="1:16">
      <c r="B56" s="41"/>
      <c r="C56" s="42"/>
      <c r="D56" s="42"/>
      <c r="E56" s="42"/>
      <c r="F56" s="42"/>
      <c r="G56" s="45"/>
      <c r="H56" s="37"/>
      <c r="I56" s="37"/>
      <c r="J56" s="43">
        <f>+J55+H56-I56</f>
        <v>9147458</v>
      </c>
    </row>
    <row r="57" spans="1:16">
      <c r="A57" s="35"/>
      <c r="B57" s="320" t="s">
        <v>131</v>
      </c>
      <c r="C57" s="321"/>
      <c r="D57" s="321"/>
      <c r="E57" s="321"/>
      <c r="F57" s="321"/>
      <c r="G57" s="321"/>
      <c r="H57" s="321"/>
      <c r="I57" s="321"/>
      <c r="J57" s="322"/>
    </row>
    <row r="58" spans="1:16">
      <c r="A58" s="35"/>
      <c r="B58" s="41"/>
      <c r="C58" s="42"/>
      <c r="D58" s="42"/>
      <c r="E58" s="42"/>
      <c r="F58" s="42" t="s">
        <v>171</v>
      </c>
      <c r="G58" s="42" t="s">
        <v>171</v>
      </c>
      <c r="H58" s="61">
        <f>+SUBVENCION!S20+SUBVENCION!T20</f>
        <v>1194866</v>
      </c>
      <c r="I58" s="61"/>
      <c r="J58" s="43">
        <f>+J56+H58-I58</f>
        <v>10342324</v>
      </c>
      <c r="K58" s="44" t="s">
        <v>228</v>
      </c>
      <c r="L58" s="97" t="s">
        <v>5</v>
      </c>
      <c r="M58" s="36" t="s">
        <v>214</v>
      </c>
      <c r="N58" s="97" t="s">
        <v>212</v>
      </c>
      <c r="O58" s="97" t="s">
        <v>213</v>
      </c>
      <c r="P58" s="97" t="s">
        <v>7</v>
      </c>
    </row>
    <row r="59" spans="1:16">
      <c r="A59" s="35"/>
      <c r="B59" s="41"/>
      <c r="C59" s="42"/>
      <c r="D59" s="42"/>
      <c r="E59" s="42"/>
      <c r="F59" s="42" t="s">
        <v>199</v>
      </c>
      <c r="G59" s="42" t="s">
        <v>199</v>
      </c>
      <c r="H59" s="61"/>
      <c r="I59" s="61">
        <v>219278</v>
      </c>
      <c r="J59" s="43">
        <f>+J58+H59-I59</f>
        <v>10123046</v>
      </c>
      <c r="L59" s="144">
        <f>H58</f>
        <v>1194866</v>
      </c>
      <c r="M59" s="101">
        <f>L59*10%</f>
        <v>119486.6</v>
      </c>
      <c r="N59" s="144">
        <f>I59</f>
        <v>219278</v>
      </c>
      <c r="O59" s="144">
        <f>I60+I61+I62+I63</f>
        <v>269050</v>
      </c>
      <c r="P59" s="144">
        <f>L59-M59-N59-O59</f>
        <v>587051.39999999991</v>
      </c>
    </row>
    <row r="60" spans="1:16">
      <c r="A60" s="35"/>
      <c r="B60" s="41">
        <v>46274</v>
      </c>
      <c r="C60" s="183">
        <v>30</v>
      </c>
      <c r="D60" s="42">
        <v>960</v>
      </c>
      <c r="E60" s="79"/>
      <c r="F60" s="42" t="s">
        <v>309</v>
      </c>
      <c r="G60" s="42" t="s">
        <v>738</v>
      </c>
      <c r="H60" s="61"/>
      <c r="I60" s="61">
        <v>89600</v>
      </c>
      <c r="J60" s="43">
        <f t="shared" ref="J60:J64" si="7">+J59+H60-I60</f>
        <v>10033446</v>
      </c>
    </row>
    <row r="61" spans="1:16">
      <c r="A61" s="35"/>
      <c r="B61" s="41">
        <v>46275</v>
      </c>
      <c r="C61" s="42">
        <v>32</v>
      </c>
      <c r="D61" s="42">
        <v>961</v>
      </c>
      <c r="E61" s="42"/>
      <c r="F61" s="42" t="s">
        <v>242</v>
      </c>
      <c r="G61" s="42" t="s">
        <v>242</v>
      </c>
      <c r="H61" s="61"/>
      <c r="I61" s="61">
        <v>179450</v>
      </c>
      <c r="J61" s="43">
        <f t="shared" si="7"/>
        <v>9853996</v>
      </c>
    </row>
    <row r="62" spans="1:16">
      <c r="A62" s="35"/>
      <c r="B62" s="41"/>
      <c r="C62" s="42"/>
      <c r="D62" s="42"/>
      <c r="E62" s="42"/>
      <c r="F62" s="42"/>
      <c r="G62" s="45"/>
      <c r="H62" s="61"/>
      <c r="I62" s="61"/>
      <c r="J62" s="43">
        <f t="shared" si="7"/>
        <v>9853996</v>
      </c>
    </row>
    <row r="63" spans="1:16">
      <c r="A63" s="35"/>
      <c r="B63" s="41"/>
      <c r="C63" s="42"/>
      <c r="D63" s="42"/>
      <c r="E63" s="42"/>
      <c r="F63" s="42"/>
      <c r="G63" s="45"/>
      <c r="H63" s="61"/>
      <c r="I63" s="61"/>
      <c r="J63" s="43">
        <f t="shared" si="7"/>
        <v>9853996</v>
      </c>
    </row>
    <row r="64" spans="1:16">
      <c r="A64" s="35"/>
      <c r="B64" s="41"/>
      <c r="C64" s="42"/>
      <c r="D64" s="42"/>
      <c r="E64" s="42"/>
      <c r="F64" s="45"/>
      <c r="G64" s="42"/>
      <c r="H64" s="61"/>
      <c r="I64" s="61"/>
      <c r="J64" s="43">
        <f t="shared" si="7"/>
        <v>9853996</v>
      </c>
    </row>
    <row r="65" spans="1:16">
      <c r="A65" s="35"/>
      <c r="B65" s="320" t="s">
        <v>132</v>
      </c>
      <c r="C65" s="321"/>
      <c r="D65" s="321"/>
      <c r="E65" s="321"/>
      <c r="F65" s="321"/>
      <c r="G65" s="321"/>
      <c r="H65" s="321"/>
      <c r="I65" s="321"/>
      <c r="J65" s="322"/>
    </row>
    <row r="66" spans="1:16">
      <c r="A66" s="35"/>
      <c r="B66" s="41"/>
      <c r="C66" s="42"/>
      <c r="D66" s="42"/>
      <c r="E66" s="42"/>
      <c r="F66" s="42" t="s">
        <v>171</v>
      </c>
      <c r="G66" s="42" t="s">
        <v>171</v>
      </c>
      <c r="H66" s="37">
        <f>+SUBVENCION!U20+SUBVENCION!V20</f>
        <v>0</v>
      </c>
      <c r="I66" s="37"/>
      <c r="J66" s="43">
        <f>+J64+H66-I66</f>
        <v>9853996</v>
      </c>
      <c r="L66" s="97" t="s">
        <v>5</v>
      </c>
      <c r="M66" s="36" t="s">
        <v>214</v>
      </c>
      <c r="N66" s="97" t="s">
        <v>212</v>
      </c>
      <c r="O66" s="97" t="s">
        <v>213</v>
      </c>
      <c r="P66" s="97" t="s">
        <v>7</v>
      </c>
    </row>
    <row r="67" spans="1:16">
      <c r="A67" s="35"/>
      <c r="B67" s="41"/>
      <c r="C67" s="42"/>
      <c r="D67" s="42"/>
      <c r="E67" s="42"/>
      <c r="F67" s="42" t="s">
        <v>199</v>
      </c>
      <c r="G67" s="42" t="s">
        <v>199</v>
      </c>
      <c r="H67" s="37"/>
      <c r="I67" s="37"/>
      <c r="J67" s="43">
        <f>+J66+H67-I67</f>
        <v>9853996</v>
      </c>
      <c r="L67" s="115">
        <f>H66</f>
        <v>0</v>
      </c>
      <c r="M67" s="101">
        <f>L67*10%</f>
        <v>0</v>
      </c>
      <c r="N67" s="115">
        <f>I67</f>
        <v>0</v>
      </c>
      <c r="O67" s="115">
        <f>I68+I69+I70+I71+I72+I73</f>
        <v>0</v>
      </c>
      <c r="P67" s="115">
        <f>L67-M67-N67-O67</f>
        <v>0</v>
      </c>
    </row>
    <row r="68" spans="1:16">
      <c r="A68" s="35"/>
      <c r="B68" s="41"/>
      <c r="C68" s="42"/>
      <c r="D68" s="42"/>
      <c r="E68" s="42"/>
      <c r="F68" s="42"/>
      <c r="G68" s="42"/>
      <c r="H68" s="37"/>
      <c r="I68" s="37"/>
      <c r="J68" s="43">
        <f t="shared" ref="J68:J78" si="8">+J67+H68-I68</f>
        <v>9853996</v>
      </c>
    </row>
    <row r="69" spans="1:16">
      <c r="A69" s="35"/>
      <c r="B69" s="41"/>
      <c r="C69" s="42"/>
      <c r="D69" s="42"/>
      <c r="E69" s="42"/>
      <c r="F69" s="42"/>
      <c r="G69" s="45"/>
      <c r="H69" s="37"/>
      <c r="I69" s="37"/>
      <c r="J69" s="43">
        <f t="shared" si="8"/>
        <v>9853996</v>
      </c>
    </row>
    <row r="70" spans="1:16">
      <c r="A70" s="35"/>
      <c r="B70" s="41"/>
      <c r="C70" s="42"/>
      <c r="D70" s="42"/>
      <c r="E70" s="42"/>
      <c r="F70" s="42"/>
      <c r="G70" s="42"/>
      <c r="H70" s="37"/>
      <c r="I70" s="37"/>
      <c r="J70" s="43">
        <f t="shared" si="8"/>
        <v>9853996</v>
      </c>
    </row>
    <row r="71" spans="1:16">
      <c r="A71" s="35"/>
      <c r="B71" s="41"/>
      <c r="C71" s="42"/>
      <c r="D71" s="42"/>
      <c r="E71" s="42"/>
      <c r="F71" s="42"/>
      <c r="G71" s="45"/>
      <c r="H71" s="37"/>
      <c r="I71" s="37"/>
      <c r="J71" s="43">
        <f t="shared" si="8"/>
        <v>9853996</v>
      </c>
    </row>
    <row r="72" spans="1:16">
      <c r="A72" s="35"/>
      <c r="B72" s="41"/>
      <c r="C72" s="42"/>
      <c r="D72" s="42"/>
      <c r="E72" s="42"/>
      <c r="F72" s="42"/>
      <c r="G72" s="42"/>
      <c r="H72" s="37"/>
      <c r="I72" s="37"/>
      <c r="J72" s="43">
        <f t="shared" si="8"/>
        <v>9853996</v>
      </c>
    </row>
    <row r="73" spans="1:16">
      <c r="A73" s="35"/>
      <c r="B73" s="41"/>
      <c r="C73" s="42"/>
      <c r="D73" s="42"/>
      <c r="E73" s="42"/>
      <c r="F73" s="42"/>
      <c r="G73" s="42"/>
      <c r="H73" s="37"/>
      <c r="I73" s="37"/>
      <c r="J73" s="43">
        <f t="shared" si="8"/>
        <v>9853996</v>
      </c>
    </row>
    <row r="74" spans="1:16">
      <c r="A74" s="35"/>
      <c r="B74" s="41"/>
      <c r="C74" s="42"/>
      <c r="D74" s="42"/>
      <c r="E74" s="42"/>
      <c r="F74" s="42"/>
      <c r="G74" s="42"/>
      <c r="H74" s="37"/>
      <c r="I74" s="37"/>
      <c r="J74" s="43">
        <f t="shared" si="8"/>
        <v>9853996</v>
      </c>
    </row>
    <row r="75" spans="1:16">
      <c r="A75" s="35"/>
      <c r="B75" s="41"/>
      <c r="C75" s="42"/>
      <c r="D75" s="42"/>
      <c r="E75" s="42"/>
      <c r="F75" s="42"/>
      <c r="G75" s="42"/>
      <c r="H75" s="37"/>
      <c r="I75" s="37"/>
      <c r="J75" s="43">
        <f t="shared" si="8"/>
        <v>9853996</v>
      </c>
    </row>
    <row r="76" spans="1:16">
      <c r="A76" s="35"/>
      <c r="B76" s="41"/>
      <c r="C76" s="42"/>
      <c r="D76" s="42"/>
      <c r="E76" s="42"/>
      <c r="F76" s="42"/>
      <c r="G76" s="42"/>
      <c r="H76" s="37"/>
      <c r="I76" s="37"/>
      <c r="J76" s="43">
        <f t="shared" si="8"/>
        <v>9853996</v>
      </c>
    </row>
    <row r="77" spans="1:16">
      <c r="A77" s="35"/>
      <c r="B77" s="41"/>
      <c r="C77" s="42"/>
      <c r="D77" s="42"/>
      <c r="E77" s="42"/>
      <c r="F77" s="42"/>
      <c r="G77" s="42"/>
      <c r="H77" s="37"/>
      <c r="I77" s="37"/>
      <c r="J77" s="43">
        <f t="shared" si="8"/>
        <v>9853996</v>
      </c>
    </row>
    <row r="78" spans="1:16">
      <c r="A78" s="35"/>
      <c r="B78" s="41"/>
      <c r="C78" s="42"/>
      <c r="D78" s="42"/>
      <c r="E78" s="42"/>
      <c r="F78" s="42"/>
      <c r="G78" s="42"/>
      <c r="H78" s="37"/>
      <c r="I78" s="37"/>
      <c r="J78" s="43">
        <f t="shared" si="8"/>
        <v>9853996</v>
      </c>
    </row>
    <row r="79" spans="1:16">
      <c r="A79" s="35"/>
      <c r="B79" s="320" t="s">
        <v>133</v>
      </c>
      <c r="C79" s="321"/>
      <c r="D79" s="321"/>
      <c r="E79" s="321"/>
      <c r="F79" s="321"/>
      <c r="G79" s="321"/>
      <c r="H79" s="321"/>
      <c r="I79" s="321"/>
      <c r="J79" s="322"/>
    </row>
    <row r="80" spans="1:16">
      <c r="A80" s="35"/>
      <c r="B80" s="46"/>
      <c r="C80" s="46"/>
      <c r="D80" s="46"/>
      <c r="E80" s="42"/>
      <c r="F80" s="42" t="s">
        <v>171</v>
      </c>
      <c r="G80" s="42" t="s">
        <v>171</v>
      </c>
      <c r="H80" s="37">
        <f>+SUBVENCION!W20+SUBVENCION!X20</f>
        <v>0</v>
      </c>
      <c r="I80" s="37"/>
      <c r="J80" s="43">
        <f>J78+H80-I80</f>
        <v>9853996</v>
      </c>
      <c r="L80" s="97" t="s">
        <v>5</v>
      </c>
      <c r="M80" s="36" t="s">
        <v>214</v>
      </c>
      <c r="N80" s="97" t="s">
        <v>212</v>
      </c>
      <c r="O80" s="97" t="s">
        <v>213</v>
      </c>
      <c r="P80" s="97" t="s">
        <v>7</v>
      </c>
    </row>
    <row r="81" spans="1:16">
      <c r="A81" s="35"/>
      <c r="B81" s="41"/>
      <c r="C81" s="42"/>
      <c r="D81" s="42"/>
      <c r="E81" s="42"/>
      <c r="F81" s="42" t="s">
        <v>199</v>
      </c>
      <c r="G81" s="42" t="s">
        <v>199</v>
      </c>
      <c r="H81" s="37"/>
      <c r="I81" s="37"/>
      <c r="J81" s="43">
        <f>+J80+H81-I81</f>
        <v>9853996</v>
      </c>
      <c r="L81" s="115">
        <f>H80</f>
        <v>0</v>
      </c>
      <c r="M81" s="101">
        <f>L81*10%</f>
        <v>0</v>
      </c>
      <c r="N81" s="115">
        <f>I81</f>
        <v>0</v>
      </c>
      <c r="O81" s="127"/>
      <c r="P81" s="115">
        <f>L81-M81-N81-O81</f>
        <v>0</v>
      </c>
    </row>
    <row r="82" spans="1:16">
      <c r="A82" s="35"/>
      <c r="B82" s="41"/>
      <c r="C82" s="42"/>
      <c r="D82" s="42"/>
      <c r="E82" s="42"/>
      <c r="F82" s="42"/>
      <c r="G82" s="45"/>
      <c r="H82" s="37"/>
      <c r="I82" s="37"/>
      <c r="J82" s="43">
        <f t="shared" ref="J82:J91" si="9">+J81+H82-I82</f>
        <v>9853996</v>
      </c>
    </row>
    <row r="83" spans="1:16">
      <c r="A83" s="35"/>
      <c r="B83" s="41"/>
      <c r="C83" s="42"/>
      <c r="D83" s="42"/>
      <c r="E83" s="42"/>
      <c r="F83" s="42"/>
      <c r="G83" s="42"/>
      <c r="H83" s="37"/>
      <c r="I83" s="37"/>
      <c r="J83" s="43">
        <f t="shared" si="9"/>
        <v>9853996</v>
      </c>
    </row>
    <row r="84" spans="1:16">
      <c r="A84" s="35"/>
      <c r="B84" s="41"/>
      <c r="C84" s="42"/>
      <c r="D84" s="42"/>
      <c r="E84" s="42"/>
      <c r="F84" s="42"/>
      <c r="G84" s="45"/>
      <c r="H84" s="37"/>
      <c r="I84" s="37"/>
      <c r="J84" s="43">
        <f t="shared" si="9"/>
        <v>9853996</v>
      </c>
    </row>
    <row r="85" spans="1:16">
      <c r="A85" s="35"/>
      <c r="B85" s="41"/>
      <c r="C85" s="42"/>
      <c r="D85" s="42"/>
      <c r="E85" s="42"/>
      <c r="F85" s="42"/>
      <c r="G85" s="45"/>
      <c r="H85" s="37"/>
      <c r="I85" s="37"/>
      <c r="J85" s="43">
        <f t="shared" si="9"/>
        <v>9853996</v>
      </c>
    </row>
    <row r="86" spans="1:16">
      <c r="A86" s="35"/>
      <c r="B86" s="41"/>
      <c r="C86" s="42"/>
      <c r="D86" s="42"/>
      <c r="E86" s="42"/>
      <c r="F86" s="42"/>
      <c r="G86" s="45"/>
      <c r="H86" s="37"/>
      <c r="I86" s="37"/>
      <c r="J86" s="43">
        <f t="shared" si="9"/>
        <v>9853996</v>
      </c>
    </row>
    <row r="87" spans="1:16">
      <c r="A87" s="35"/>
      <c r="B87" s="41"/>
      <c r="C87" s="42"/>
      <c r="D87" s="42"/>
      <c r="E87" s="42"/>
      <c r="F87" s="42"/>
      <c r="G87" s="45"/>
      <c r="H87" s="37"/>
      <c r="I87" s="37"/>
      <c r="J87" s="43">
        <f t="shared" si="9"/>
        <v>9853996</v>
      </c>
    </row>
    <row r="88" spans="1:16">
      <c r="A88" s="35"/>
      <c r="B88" s="41"/>
      <c r="C88" s="42"/>
      <c r="D88" s="42"/>
      <c r="E88" s="42"/>
      <c r="F88" s="42"/>
      <c r="G88" s="45"/>
      <c r="H88" s="37"/>
      <c r="I88" s="37"/>
      <c r="J88" s="43">
        <f t="shared" si="9"/>
        <v>9853996</v>
      </c>
    </row>
    <row r="89" spans="1:16">
      <c r="A89" s="35"/>
      <c r="B89" s="41"/>
      <c r="C89" s="42"/>
      <c r="D89" s="42"/>
      <c r="E89" s="42"/>
      <c r="F89" s="42"/>
      <c r="G89" s="45"/>
      <c r="H89" s="37"/>
      <c r="I89" s="37"/>
      <c r="J89" s="43">
        <f t="shared" si="9"/>
        <v>9853996</v>
      </c>
    </row>
    <row r="90" spans="1:16">
      <c r="A90" s="35"/>
      <c r="B90" s="41"/>
      <c r="C90" s="42"/>
      <c r="D90" s="42"/>
      <c r="E90" s="42"/>
      <c r="F90" s="42"/>
      <c r="G90" s="45"/>
      <c r="H90" s="37"/>
      <c r="I90" s="37"/>
      <c r="J90" s="43">
        <f t="shared" si="9"/>
        <v>9853996</v>
      </c>
    </row>
    <row r="91" spans="1:16">
      <c r="A91" s="35"/>
      <c r="B91" s="41"/>
      <c r="C91" s="42"/>
      <c r="D91" s="42"/>
      <c r="E91" s="42"/>
      <c r="F91" s="42"/>
      <c r="G91" s="45"/>
      <c r="H91" s="37"/>
      <c r="I91" s="37"/>
      <c r="J91" s="43">
        <f t="shared" si="9"/>
        <v>9853996</v>
      </c>
    </row>
    <row r="92" spans="1:16">
      <c r="A92" s="35"/>
      <c r="B92" s="320" t="s">
        <v>134</v>
      </c>
      <c r="C92" s="321"/>
      <c r="D92" s="321"/>
      <c r="E92" s="321"/>
      <c r="F92" s="321"/>
      <c r="G92" s="321"/>
      <c r="H92" s="321"/>
      <c r="I92" s="321"/>
      <c r="J92" s="322"/>
    </row>
    <row r="93" spans="1:16">
      <c r="A93" s="35"/>
      <c r="B93" s="41"/>
      <c r="C93" s="42"/>
      <c r="D93" s="42"/>
      <c r="E93" s="42"/>
      <c r="F93" s="42" t="s">
        <v>171</v>
      </c>
      <c r="G93" s="42" t="s">
        <v>171</v>
      </c>
      <c r="H93" s="37">
        <f>+SUBVENCION!Y20+SUBVENCION!Z20</f>
        <v>0</v>
      </c>
      <c r="I93" s="37"/>
      <c r="J93" s="43">
        <f>+J91+H93-I93</f>
        <v>9853996</v>
      </c>
      <c r="L93" s="97" t="s">
        <v>5</v>
      </c>
      <c r="M93" s="36" t="s">
        <v>214</v>
      </c>
      <c r="N93" s="97" t="s">
        <v>212</v>
      </c>
      <c r="O93" s="97" t="s">
        <v>213</v>
      </c>
      <c r="P93" s="97" t="s">
        <v>7</v>
      </c>
    </row>
    <row r="94" spans="1:16">
      <c r="A94" s="35"/>
      <c r="B94" s="41"/>
      <c r="C94" s="42"/>
      <c r="D94" s="42"/>
      <c r="E94" s="42"/>
      <c r="F94" s="42" t="s">
        <v>199</v>
      </c>
      <c r="G94" s="42" t="s">
        <v>199</v>
      </c>
      <c r="H94" s="37"/>
      <c r="I94" s="37"/>
      <c r="J94" s="43">
        <f>+J93+H94-I94</f>
        <v>9853996</v>
      </c>
      <c r="L94" s="115">
        <f>H93</f>
        <v>0</v>
      </c>
      <c r="M94" s="101">
        <f>H93*10%</f>
        <v>0</v>
      </c>
      <c r="N94" s="115">
        <f>I94</f>
        <v>0</v>
      </c>
      <c r="O94" s="127"/>
      <c r="P94" s="115">
        <f>L94-M94-N94-O94</f>
        <v>0</v>
      </c>
    </row>
    <row r="95" spans="1:16">
      <c r="A95" s="35"/>
      <c r="B95" s="41"/>
      <c r="C95" s="42"/>
      <c r="D95" s="42"/>
      <c r="E95" s="42"/>
      <c r="F95" s="42"/>
      <c r="G95" s="45"/>
      <c r="H95" s="37"/>
      <c r="I95" s="37"/>
      <c r="J95" s="43">
        <f t="shared" ref="J95:J102" si="10">+J94+H95-I95</f>
        <v>9853996</v>
      </c>
    </row>
    <row r="96" spans="1:16">
      <c r="A96" s="35"/>
      <c r="B96" s="41"/>
      <c r="C96" s="42"/>
      <c r="D96" s="42"/>
      <c r="E96" s="42"/>
      <c r="F96" s="42"/>
      <c r="G96" s="45"/>
      <c r="H96" s="37"/>
      <c r="I96" s="37"/>
      <c r="J96" s="43">
        <f t="shared" si="10"/>
        <v>9853996</v>
      </c>
    </row>
    <row r="97" spans="1:16">
      <c r="A97" s="35"/>
      <c r="B97" s="41"/>
      <c r="C97" s="42"/>
      <c r="D97" s="42"/>
      <c r="E97" s="42"/>
      <c r="F97" s="42"/>
      <c r="G97" s="45"/>
      <c r="H97" s="37"/>
      <c r="I97" s="37"/>
      <c r="J97" s="43">
        <f t="shared" si="10"/>
        <v>9853996</v>
      </c>
    </row>
    <row r="98" spans="1:16">
      <c r="A98" s="35"/>
      <c r="B98" s="41"/>
      <c r="C98" s="42"/>
      <c r="D98" s="42"/>
      <c r="E98" s="42"/>
      <c r="F98" s="42"/>
      <c r="G98" s="45"/>
      <c r="H98" s="37"/>
      <c r="I98" s="37"/>
      <c r="J98" s="43">
        <f t="shared" si="10"/>
        <v>9853996</v>
      </c>
    </row>
    <row r="99" spans="1:16">
      <c r="A99" s="35"/>
      <c r="B99" s="41"/>
      <c r="C99" s="42"/>
      <c r="D99" s="42"/>
      <c r="E99" s="42"/>
      <c r="F99" s="42"/>
      <c r="G99" s="45"/>
      <c r="H99" s="37"/>
      <c r="I99" s="37"/>
      <c r="J99" s="43">
        <f t="shared" si="10"/>
        <v>9853996</v>
      </c>
    </row>
    <row r="100" spans="1:16">
      <c r="A100" s="35"/>
      <c r="B100" s="41"/>
      <c r="C100" s="42"/>
      <c r="D100" s="42"/>
      <c r="E100" s="42"/>
      <c r="F100" s="42"/>
      <c r="G100" s="45"/>
      <c r="H100" s="37"/>
      <c r="I100" s="37"/>
      <c r="J100" s="43">
        <f t="shared" si="10"/>
        <v>9853996</v>
      </c>
    </row>
    <row r="101" spans="1:16">
      <c r="A101" s="35"/>
      <c r="B101" s="41"/>
      <c r="C101" s="42"/>
      <c r="D101" s="42"/>
      <c r="E101" s="42"/>
      <c r="F101" s="42"/>
      <c r="G101" s="45"/>
      <c r="H101" s="37"/>
      <c r="I101" s="37"/>
      <c r="J101" s="43">
        <f t="shared" si="10"/>
        <v>9853996</v>
      </c>
    </row>
    <row r="102" spans="1:16">
      <c r="A102" s="35"/>
      <c r="B102" s="41"/>
      <c r="C102" s="42"/>
      <c r="D102" s="42"/>
      <c r="E102" s="42"/>
      <c r="F102" s="42" t="s">
        <v>201</v>
      </c>
      <c r="G102" s="45" t="s">
        <v>135</v>
      </c>
      <c r="H102" s="37">
        <f>(H9+H13+H16+H28+H36+H42+H47+H52+H58+H66+H80+H93)*-10%</f>
        <v>-1074895.5</v>
      </c>
      <c r="I102" s="37"/>
      <c r="J102" s="43">
        <f t="shared" si="10"/>
        <v>8779100.5</v>
      </c>
      <c r="L102" s="97" t="s">
        <v>5</v>
      </c>
      <c r="M102" s="36" t="s">
        <v>214</v>
      </c>
      <c r="N102" s="97" t="s">
        <v>212</v>
      </c>
      <c r="O102" s="97" t="s">
        <v>213</v>
      </c>
      <c r="P102" s="97" t="s">
        <v>7</v>
      </c>
    </row>
    <row r="103" spans="1:16">
      <c r="A103" s="48"/>
      <c r="B103" s="46" t="s">
        <v>8</v>
      </c>
      <c r="C103" s="97" t="s">
        <v>8</v>
      </c>
      <c r="D103" s="97"/>
      <c r="E103" s="97"/>
      <c r="F103" s="97"/>
      <c r="G103" s="97" t="s">
        <v>9</v>
      </c>
      <c r="H103" s="38">
        <f>SUM(H7:H102)</f>
        <v>14973018.5</v>
      </c>
      <c r="I103" s="38">
        <f>SUM(I9:I102)</f>
        <v>6193918</v>
      </c>
      <c r="J103" s="38">
        <f>+H103-I103</f>
        <v>8779100.5</v>
      </c>
      <c r="L103" s="37">
        <f>+H9+H13+H16+H28+H36+H42+H47+H52+H58+H66+H80+H93</f>
        <v>10748955</v>
      </c>
      <c r="M103" s="191">
        <f>+L103*10%</f>
        <v>1074895.5</v>
      </c>
      <c r="N103" s="51">
        <f>+I10+I14+I17+I29+I37+I43+I48+I53+I59+I67+I81+I94</f>
        <v>1913578</v>
      </c>
      <c r="O103" s="51">
        <f>+I18+I19+I20+I22+I21+I23+I24+I30+I31+I32+I33+I38+I44+I45+I49+I54+I55+I60+I61</f>
        <v>4280340</v>
      </c>
      <c r="P103" s="153">
        <f>+L103-M103-N103-O103</f>
        <v>3480141.5</v>
      </c>
    </row>
    <row r="105" spans="1:16">
      <c r="L105" s="180">
        <f t="shared" ref="L105:O105" si="11">L9+L14+L17+L29+L37+L43+L48+L53+L59+L67+L81+L94</f>
        <v>10748955</v>
      </c>
      <c r="M105" s="180">
        <f t="shared" si="11"/>
        <v>1074895.5</v>
      </c>
      <c r="N105" s="180">
        <f t="shared" si="11"/>
        <v>1913578</v>
      </c>
      <c r="O105" s="180">
        <f t="shared" si="11"/>
        <v>4280340</v>
      </c>
      <c r="P105" s="180">
        <f>P9+P14+P17+P29+P37+P43+P48+P53+P59+P67+P81+P94</f>
        <v>3480141.5</v>
      </c>
    </row>
    <row r="106" spans="1:16">
      <c r="H106" s="97" t="s">
        <v>5</v>
      </c>
      <c r="I106" s="97" t="s">
        <v>6</v>
      </c>
      <c r="J106" s="97" t="s">
        <v>198</v>
      </c>
    </row>
    <row r="107" spans="1:16">
      <c r="H107" s="144">
        <f>+H103</f>
        <v>14973018.5</v>
      </c>
      <c r="I107" s="43">
        <f>+I103</f>
        <v>6193918</v>
      </c>
      <c r="J107" s="143">
        <f>+I107*100/H107</f>
        <v>41.367196601006</v>
      </c>
      <c r="O107" s="181"/>
    </row>
    <row r="108" spans="1:16">
      <c r="N108" s="181"/>
    </row>
  </sheetData>
  <autoFilter ref="A6:J103" xr:uid="{00000000-0009-0000-0000-00000C000000}"/>
  <mergeCells count="14">
    <mergeCell ref="B79:J79"/>
    <mergeCell ref="B92:J92"/>
    <mergeCell ref="B65:J65"/>
    <mergeCell ref="B57:J57"/>
    <mergeCell ref="B2:J2"/>
    <mergeCell ref="B3:J3"/>
    <mergeCell ref="B8:J8"/>
    <mergeCell ref="B12:J12"/>
    <mergeCell ref="B51:J51"/>
    <mergeCell ref="B46:J46"/>
    <mergeCell ref="B41:J41"/>
    <mergeCell ref="B35:J35"/>
    <mergeCell ref="B27:J27"/>
    <mergeCell ref="B15:J15"/>
  </mergeCells>
  <conditionalFormatting sqref="H1:J14 H16:J50 H52:J56 H80:J91">
    <cfRule type="cellIs" dxfId="103" priority="19" operator="lessThan">
      <formula>0</formula>
    </cfRule>
  </conditionalFormatting>
  <conditionalFormatting sqref="H66:J78">
    <cfRule type="cellIs" dxfId="102" priority="1" operator="lessThan">
      <formula>0</formula>
    </cfRule>
  </conditionalFormatting>
  <conditionalFormatting sqref="H93:J105">
    <cfRule type="cellIs" dxfId="101" priority="12" operator="lessThan">
      <formula>0</formula>
    </cfRule>
  </conditionalFormatting>
  <conditionalFormatting sqref="H108:J1048576">
    <cfRule type="cellIs" dxfId="100" priority="21" operator="lessThan">
      <formula>0</formula>
    </cfRule>
  </conditionalFormatting>
  <conditionalFormatting sqref="I58:J64">
    <cfRule type="cellIs" dxfId="99" priority="10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99"/>
  <sheetViews>
    <sheetView showGridLines="0" topLeftCell="B101" zoomScaleNormal="100" workbookViewId="0">
      <selection activeCell="P196" sqref="P196"/>
    </sheetView>
  </sheetViews>
  <sheetFormatPr baseColWidth="10" defaultRowHeight="11.25"/>
  <cols>
    <col min="1" max="2" width="11.42578125" style="44"/>
    <col min="3" max="3" width="8.7109375" style="44" bestFit="1" customWidth="1"/>
    <col min="4" max="4" width="15.42578125" style="44" customWidth="1"/>
    <col min="5" max="5" width="11.42578125" style="108"/>
    <col min="6" max="6" width="25.7109375" style="44" bestFit="1" customWidth="1"/>
    <col min="7" max="7" width="33.42578125" style="44" bestFit="1" customWidth="1"/>
    <col min="8" max="8" width="11.7109375" style="44" bestFit="1" customWidth="1"/>
    <col min="9" max="9" width="11.42578125" style="44"/>
    <col min="10" max="10" width="15" style="44" customWidth="1"/>
    <col min="11" max="12" width="11.42578125" style="44"/>
    <col min="13" max="13" width="11.42578125" style="50"/>
    <col min="14" max="16384" width="11.42578125" style="44"/>
  </cols>
  <sheetData>
    <row r="1" spans="1:18">
      <c r="A1" s="35"/>
      <c r="B1" s="35"/>
      <c r="C1" s="35"/>
      <c r="D1" s="35"/>
      <c r="E1" s="105"/>
      <c r="F1" s="35"/>
      <c r="G1" s="35"/>
      <c r="H1" s="35"/>
      <c r="I1" s="35"/>
      <c r="J1" s="35"/>
    </row>
    <row r="2" spans="1:18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</row>
    <row r="3" spans="1:18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</row>
    <row r="4" spans="1:18">
      <c r="A4" s="35"/>
      <c r="B4" s="327" t="s">
        <v>102</v>
      </c>
      <c r="C4" s="328"/>
      <c r="D4" s="328"/>
      <c r="E4" s="328"/>
      <c r="F4" s="328"/>
      <c r="G4" s="328"/>
      <c r="H4" s="328"/>
      <c r="I4" s="328"/>
      <c r="J4" s="329"/>
    </row>
    <row r="5" spans="1:18">
      <c r="A5" s="35"/>
      <c r="B5" s="327" t="s">
        <v>220</v>
      </c>
      <c r="C5" s="328"/>
      <c r="D5" s="328"/>
      <c r="E5" s="328"/>
      <c r="F5" s="328"/>
      <c r="G5" s="328"/>
      <c r="H5" s="328"/>
      <c r="I5" s="328"/>
      <c r="J5" s="329"/>
    </row>
    <row r="6" spans="1:18">
      <c r="A6" s="35"/>
      <c r="B6" s="327" t="s">
        <v>103</v>
      </c>
      <c r="C6" s="328"/>
      <c r="D6" s="328"/>
      <c r="E6" s="328"/>
      <c r="F6" s="328"/>
      <c r="G6" s="328"/>
      <c r="H6" s="328"/>
      <c r="I6" s="328"/>
      <c r="J6" s="329"/>
    </row>
    <row r="7" spans="1:18">
      <c r="A7" s="35"/>
      <c r="B7" s="94" t="s">
        <v>74</v>
      </c>
      <c r="C7" s="95"/>
      <c r="D7" s="95"/>
      <c r="E7" s="166"/>
      <c r="F7" s="95"/>
      <c r="G7" s="95"/>
      <c r="H7" s="95"/>
      <c r="I7" s="95"/>
      <c r="J7" s="96"/>
    </row>
    <row r="8" spans="1:18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8">
      <c r="A9" s="35"/>
      <c r="B9" s="41"/>
      <c r="C9" s="42"/>
      <c r="D9" s="42"/>
      <c r="E9" s="40"/>
      <c r="F9" s="42"/>
      <c r="G9" s="45" t="s">
        <v>236</v>
      </c>
      <c r="H9" s="37">
        <v>-2405121</v>
      </c>
      <c r="I9" s="37"/>
      <c r="J9" s="43">
        <f>+H9-I9</f>
        <v>-2405121</v>
      </c>
    </row>
    <row r="10" spans="1:18" s="49" customForma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M10" s="190"/>
    </row>
    <row r="11" spans="1:18">
      <c r="A11" s="35"/>
      <c r="B11" s="41"/>
      <c r="C11" s="42"/>
      <c r="D11" s="42"/>
      <c r="E11" s="40"/>
      <c r="F11" s="42" t="s">
        <v>171</v>
      </c>
      <c r="G11" s="42" t="s">
        <v>171</v>
      </c>
      <c r="H11" s="37">
        <f>SUBVENCION!C7+SUBVENCION!D7</f>
        <v>36332097</v>
      </c>
      <c r="I11" s="37"/>
      <c r="J11" s="43">
        <f>+H11</f>
        <v>36332097</v>
      </c>
      <c r="K11" s="44" t="s">
        <v>90</v>
      </c>
      <c r="L11" s="97" t="s">
        <v>5</v>
      </c>
      <c r="M11" s="36" t="s">
        <v>214</v>
      </c>
      <c r="N11" s="97" t="s">
        <v>212</v>
      </c>
      <c r="O11" s="97" t="s">
        <v>213</v>
      </c>
      <c r="P11" s="97" t="s">
        <v>7</v>
      </c>
    </row>
    <row r="12" spans="1:18">
      <c r="A12" s="35"/>
      <c r="B12" s="41"/>
      <c r="C12" s="42"/>
      <c r="D12" s="42"/>
      <c r="E12" s="40"/>
      <c r="F12" s="42" t="s">
        <v>199</v>
      </c>
      <c r="G12" s="42" t="s">
        <v>199</v>
      </c>
      <c r="H12" s="37"/>
      <c r="I12" s="37">
        <v>29886050</v>
      </c>
      <c r="J12" s="43">
        <f>+J11+H12-I12</f>
        <v>6446047</v>
      </c>
      <c r="L12" s="115">
        <f>H11</f>
        <v>36332097</v>
      </c>
      <c r="M12" s="101">
        <f>L12*10%</f>
        <v>3633209.7</v>
      </c>
      <c r="N12" s="115">
        <f>I12</f>
        <v>29886050</v>
      </c>
      <c r="O12" s="144">
        <f>I13+I14</f>
        <v>486946</v>
      </c>
      <c r="P12" s="144">
        <f>L12-M12-N12-O12</f>
        <v>2325891.3000000007</v>
      </c>
    </row>
    <row r="13" spans="1:18">
      <c r="A13" s="35"/>
      <c r="B13" s="41"/>
      <c r="C13" s="42"/>
      <c r="D13" s="42"/>
      <c r="E13" s="97">
        <v>55</v>
      </c>
      <c r="F13" s="55" t="s">
        <v>327</v>
      </c>
      <c r="G13" s="55" t="s">
        <v>327</v>
      </c>
      <c r="H13" s="63"/>
      <c r="I13" s="63">
        <v>486946</v>
      </c>
      <c r="J13" s="43">
        <f t="shared" ref="J13:J14" si="0">+J12+H13-I13</f>
        <v>5959101</v>
      </c>
    </row>
    <row r="14" spans="1:18">
      <c r="A14" s="35"/>
      <c r="B14" s="41"/>
      <c r="C14" s="42"/>
      <c r="D14" s="42"/>
      <c r="E14" s="40"/>
      <c r="F14" s="42"/>
      <c r="G14" s="45"/>
      <c r="H14" s="37"/>
      <c r="I14" s="37"/>
      <c r="J14" s="43">
        <f t="shared" si="0"/>
        <v>5959101</v>
      </c>
    </row>
    <row r="15" spans="1:18" s="49" customFormat="1">
      <c r="A15" s="48"/>
      <c r="B15" s="330" t="s">
        <v>67</v>
      </c>
      <c r="C15" s="331"/>
      <c r="D15" s="331"/>
      <c r="E15" s="331"/>
      <c r="F15" s="331"/>
      <c r="G15" s="331"/>
      <c r="H15" s="331"/>
      <c r="I15" s="331"/>
      <c r="J15" s="332"/>
      <c r="M15" s="190"/>
      <c r="R15" s="265">
        <f>P12+P17</f>
        <v>4035424.6999999993</v>
      </c>
    </row>
    <row r="16" spans="1:18" s="49" customFormat="1">
      <c r="A16" s="48"/>
      <c r="B16" s="97"/>
      <c r="C16" s="97"/>
      <c r="D16" s="97"/>
      <c r="E16" s="97"/>
      <c r="F16" s="42" t="s">
        <v>171</v>
      </c>
      <c r="G16" s="42" t="s">
        <v>171</v>
      </c>
      <c r="H16" s="37">
        <f>SUBVENCION!E7+SUBVENCION!F7</f>
        <v>38440236</v>
      </c>
      <c r="I16" s="97"/>
      <c r="J16" s="90">
        <f>+J14+H16-I16</f>
        <v>44399337</v>
      </c>
      <c r="K16" s="49" t="s">
        <v>229</v>
      </c>
      <c r="L16" s="97" t="s">
        <v>5</v>
      </c>
      <c r="M16" s="36" t="s">
        <v>214</v>
      </c>
      <c r="N16" s="97" t="s">
        <v>212</v>
      </c>
      <c r="O16" s="97" t="s">
        <v>213</v>
      </c>
      <c r="P16" s="97" t="s">
        <v>7</v>
      </c>
    </row>
    <row r="17" spans="1:16">
      <c r="A17" s="35"/>
      <c r="B17" s="41"/>
      <c r="C17" s="42"/>
      <c r="D17" s="42"/>
      <c r="E17" s="40"/>
      <c r="F17" s="42" t="s">
        <v>199</v>
      </c>
      <c r="G17" s="42" t="s">
        <v>199</v>
      </c>
      <c r="H17" s="37"/>
      <c r="I17" s="37">
        <v>32400033</v>
      </c>
      <c r="J17" s="43">
        <f>+J16+H17-I17</f>
        <v>11999304</v>
      </c>
      <c r="L17" s="115">
        <f>H16</f>
        <v>38440236</v>
      </c>
      <c r="M17" s="101">
        <f>L17*10%</f>
        <v>3844023.6</v>
      </c>
      <c r="N17" s="115">
        <f>I17</f>
        <v>32400033</v>
      </c>
      <c r="O17" s="115">
        <f>I18+I19+I20</f>
        <v>486646</v>
      </c>
      <c r="P17" s="115">
        <f>L17-M17-N17-O17</f>
        <v>1709533.3999999985</v>
      </c>
    </row>
    <row r="18" spans="1:16">
      <c r="A18" s="35"/>
      <c r="B18" s="41"/>
      <c r="C18" s="42"/>
      <c r="D18" s="42"/>
      <c r="E18" s="97">
        <v>161</v>
      </c>
      <c r="F18" s="55" t="s">
        <v>327</v>
      </c>
      <c r="G18" s="55" t="s">
        <v>327</v>
      </c>
      <c r="H18" s="226"/>
      <c r="I18" s="226">
        <v>486646</v>
      </c>
      <c r="J18" s="43">
        <f t="shared" ref="J18:J20" si="1">+J17+H18-I18</f>
        <v>11512658</v>
      </c>
    </row>
    <row r="19" spans="1:16">
      <c r="A19" s="35"/>
      <c r="B19" s="41"/>
      <c r="C19" s="42"/>
      <c r="D19" s="42"/>
      <c r="E19" s="40"/>
      <c r="F19" s="42"/>
      <c r="G19" s="45"/>
      <c r="H19" s="37"/>
      <c r="I19" s="37"/>
      <c r="J19" s="43">
        <f t="shared" si="1"/>
        <v>11512658</v>
      </c>
    </row>
    <row r="20" spans="1:16">
      <c r="A20" s="35"/>
      <c r="B20" s="41"/>
      <c r="C20" s="42"/>
      <c r="D20" s="42"/>
      <c r="E20" s="40"/>
      <c r="F20" s="42"/>
      <c r="G20" s="45"/>
      <c r="H20" s="37"/>
      <c r="I20" s="37"/>
      <c r="J20" s="43">
        <f t="shared" si="1"/>
        <v>11512658</v>
      </c>
    </row>
    <row r="21" spans="1:16">
      <c r="A21" s="35"/>
      <c r="B21" s="330" t="s">
        <v>68</v>
      </c>
      <c r="C21" s="331"/>
      <c r="D21" s="331"/>
      <c r="E21" s="331"/>
      <c r="F21" s="331"/>
      <c r="G21" s="331"/>
      <c r="H21" s="331"/>
      <c r="I21" s="331"/>
      <c r="J21" s="332"/>
    </row>
    <row r="22" spans="1:16">
      <c r="A22" s="35"/>
      <c r="B22" s="41"/>
      <c r="C22" s="42"/>
      <c r="D22" s="42"/>
      <c r="E22" s="40"/>
      <c r="F22" s="42" t="s">
        <v>171</v>
      </c>
      <c r="G22" s="42" t="s">
        <v>171</v>
      </c>
      <c r="H22" s="37">
        <f>SUBVENCION!G7+SUBVENCION!H7</f>
        <v>36993977</v>
      </c>
      <c r="I22" s="37"/>
      <c r="J22" s="43">
        <f>+J20+H22-I22</f>
        <v>48506635</v>
      </c>
      <c r="K22" s="44" t="s">
        <v>224</v>
      </c>
      <c r="L22" s="97" t="s">
        <v>5</v>
      </c>
      <c r="M22" s="36" t="s">
        <v>214</v>
      </c>
      <c r="N22" s="97" t="s">
        <v>212</v>
      </c>
      <c r="O22" s="97" t="s">
        <v>213</v>
      </c>
      <c r="P22" s="97" t="s">
        <v>7</v>
      </c>
    </row>
    <row r="23" spans="1:16">
      <c r="A23" s="35"/>
      <c r="B23" s="41"/>
      <c r="C23" s="42"/>
      <c r="D23" s="42"/>
      <c r="E23" s="40"/>
      <c r="F23" s="42" t="s">
        <v>199</v>
      </c>
      <c r="G23" s="42" t="s">
        <v>199</v>
      </c>
      <c r="H23" s="37"/>
      <c r="I23" s="102">
        <v>25445960</v>
      </c>
      <c r="J23" s="43">
        <f>+J22+H23-I23</f>
        <v>23060675</v>
      </c>
      <c r="L23" s="115">
        <f>H22</f>
        <v>36993977</v>
      </c>
      <c r="M23" s="101">
        <f>L23*10%</f>
        <v>3699397.7</v>
      </c>
      <c r="N23" s="115">
        <f>I23</f>
        <v>25445960</v>
      </c>
      <c r="O23" s="115">
        <f>SUM(I24:I32)</f>
        <v>9706312</v>
      </c>
      <c r="P23" s="115">
        <f>L23-M23-N23-O23</f>
        <v>-1857692.6999999993</v>
      </c>
    </row>
    <row r="24" spans="1:16">
      <c r="A24" s="35"/>
      <c r="B24" s="41">
        <v>46090</v>
      </c>
      <c r="C24" s="42">
        <v>17</v>
      </c>
      <c r="D24" s="42">
        <v>82</v>
      </c>
      <c r="E24" s="40">
        <v>382</v>
      </c>
      <c r="F24" s="42" t="s">
        <v>253</v>
      </c>
      <c r="G24" s="45" t="s">
        <v>240</v>
      </c>
      <c r="H24" s="37"/>
      <c r="I24" s="37">
        <v>207960</v>
      </c>
      <c r="J24" s="43">
        <f t="shared" ref="J24:J33" si="2">+J23+H24-I24</f>
        <v>22852715</v>
      </c>
    </row>
    <row r="25" spans="1:16">
      <c r="A25" s="35"/>
      <c r="B25" s="41">
        <v>46090</v>
      </c>
      <c r="C25" s="42">
        <v>18</v>
      </c>
      <c r="D25" s="42" t="s">
        <v>337</v>
      </c>
      <c r="E25" s="40">
        <v>394</v>
      </c>
      <c r="F25" s="42" t="s">
        <v>307</v>
      </c>
      <c r="G25" s="42" t="s">
        <v>308</v>
      </c>
      <c r="H25" s="37"/>
      <c r="I25" s="37">
        <v>1900430</v>
      </c>
      <c r="J25" s="43">
        <f t="shared" si="2"/>
        <v>20952285</v>
      </c>
    </row>
    <row r="26" spans="1:16">
      <c r="B26" s="41">
        <v>46091</v>
      </c>
      <c r="C26" s="42">
        <v>19</v>
      </c>
      <c r="D26" s="42">
        <v>103</v>
      </c>
      <c r="E26" s="40">
        <v>598</v>
      </c>
      <c r="F26" s="42" t="s">
        <v>272</v>
      </c>
      <c r="G26" s="45" t="s">
        <v>240</v>
      </c>
      <c r="H26" s="113"/>
      <c r="I26" s="37">
        <v>183297</v>
      </c>
      <c r="J26" s="43">
        <f t="shared" si="2"/>
        <v>20768988</v>
      </c>
    </row>
    <row r="27" spans="1:16">
      <c r="B27" s="41">
        <v>46091</v>
      </c>
      <c r="C27" s="42">
        <v>20</v>
      </c>
      <c r="D27" s="42">
        <v>106</v>
      </c>
      <c r="E27" s="40">
        <v>598</v>
      </c>
      <c r="F27" s="42" t="s">
        <v>272</v>
      </c>
      <c r="G27" s="45" t="s">
        <v>240</v>
      </c>
      <c r="H27" s="37"/>
      <c r="I27" s="37">
        <v>26037</v>
      </c>
      <c r="J27" s="43">
        <f t="shared" si="2"/>
        <v>20742951</v>
      </c>
    </row>
    <row r="28" spans="1:16">
      <c r="B28" s="41">
        <v>46091</v>
      </c>
      <c r="C28" s="42">
        <v>21</v>
      </c>
      <c r="D28" s="42" t="s">
        <v>345</v>
      </c>
      <c r="E28" s="40">
        <v>771</v>
      </c>
      <c r="F28" s="42" t="s">
        <v>272</v>
      </c>
      <c r="G28" s="45" t="s">
        <v>240</v>
      </c>
      <c r="H28" s="37"/>
      <c r="I28" s="37">
        <v>1926217</v>
      </c>
      <c r="J28" s="43">
        <f t="shared" si="2"/>
        <v>18816734</v>
      </c>
    </row>
    <row r="29" spans="1:16">
      <c r="B29" s="41">
        <v>46091</v>
      </c>
      <c r="C29" s="42">
        <v>23</v>
      </c>
      <c r="D29" s="42" t="s">
        <v>372</v>
      </c>
      <c r="E29" s="40">
        <v>616</v>
      </c>
      <c r="F29" s="42" t="s">
        <v>272</v>
      </c>
      <c r="G29" s="45" t="s">
        <v>240</v>
      </c>
      <c r="H29" s="37"/>
      <c r="I29" s="37">
        <v>586016</v>
      </c>
      <c r="J29" s="43">
        <f t="shared" si="2"/>
        <v>18230718</v>
      </c>
    </row>
    <row r="30" spans="1:16">
      <c r="B30" s="41">
        <v>46099</v>
      </c>
      <c r="C30" s="42"/>
      <c r="D30" s="42"/>
      <c r="E30" s="260">
        <v>293</v>
      </c>
      <c r="F30" s="55" t="s">
        <v>327</v>
      </c>
      <c r="G30" s="55" t="s">
        <v>327</v>
      </c>
      <c r="H30" s="37"/>
      <c r="I30" s="37">
        <v>487783</v>
      </c>
      <c r="J30" s="43">
        <f t="shared" si="2"/>
        <v>17742935</v>
      </c>
    </row>
    <row r="31" spans="1:16">
      <c r="B31" s="41">
        <v>46107</v>
      </c>
      <c r="C31" s="262">
        <v>29</v>
      </c>
      <c r="D31" s="42" t="s">
        <v>590</v>
      </c>
      <c r="E31" s="224">
        <v>1100</v>
      </c>
      <c r="F31" s="261" t="s">
        <v>322</v>
      </c>
      <c r="G31" s="261" t="s">
        <v>439</v>
      </c>
      <c r="H31" s="226"/>
      <c r="I31" s="226">
        <v>4388572</v>
      </c>
      <c r="J31" s="43">
        <f t="shared" si="2"/>
        <v>13354363</v>
      </c>
    </row>
    <row r="32" spans="1:16">
      <c r="B32" s="230"/>
      <c r="C32" s="127"/>
      <c r="D32" s="42"/>
      <c r="E32" s="224"/>
      <c r="F32" s="127"/>
      <c r="G32" s="127"/>
      <c r="H32" s="127"/>
      <c r="I32" s="193"/>
      <c r="J32" s="43">
        <f t="shared" si="2"/>
        <v>13354363</v>
      </c>
    </row>
    <row r="33" spans="1:16">
      <c r="B33" s="41"/>
      <c r="C33" s="42"/>
      <c r="D33" s="42"/>
      <c r="E33" s="40"/>
      <c r="F33" s="42"/>
      <c r="G33" s="45"/>
      <c r="H33" s="37"/>
      <c r="I33" s="37"/>
      <c r="J33" s="43">
        <f t="shared" si="2"/>
        <v>13354363</v>
      </c>
    </row>
    <row r="34" spans="1:16">
      <c r="B34" s="330" t="s">
        <v>69</v>
      </c>
      <c r="C34" s="331"/>
      <c r="D34" s="331"/>
      <c r="E34" s="331"/>
      <c r="F34" s="331"/>
      <c r="G34" s="331"/>
      <c r="H34" s="331"/>
      <c r="I34" s="331"/>
      <c r="J34" s="332"/>
    </row>
    <row r="35" spans="1:16">
      <c r="B35" s="41"/>
      <c r="C35" s="42"/>
      <c r="D35" s="42"/>
      <c r="E35" s="40"/>
      <c r="F35" s="42" t="s">
        <v>171</v>
      </c>
      <c r="G35" s="42" t="s">
        <v>171</v>
      </c>
      <c r="H35" s="37">
        <f>SUBVENCION!I7+SUBVENCION!J7</f>
        <v>35182209</v>
      </c>
      <c r="I35" s="37"/>
      <c r="J35" s="43">
        <f>+J33+H35-I35</f>
        <v>48536572</v>
      </c>
      <c r="K35" s="44" t="s">
        <v>128</v>
      </c>
      <c r="L35" s="97" t="s">
        <v>5</v>
      </c>
      <c r="M35" s="36" t="s">
        <v>214</v>
      </c>
      <c r="N35" s="97" t="s">
        <v>212</v>
      </c>
      <c r="O35" s="97" t="s">
        <v>213</v>
      </c>
      <c r="P35" s="97" t="s">
        <v>7</v>
      </c>
    </row>
    <row r="36" spans="1:16">
      <c r="B36" s="41"/>
      <c r="C36" s="42"/>
      <c r="D36" s="42"/>
      <c r="E36" s="40"/>
      <c r="F36" s="42" t="s">
        <v>199</v>
      </c>
      <c r="G36" s="42" t="s">
        <v>199</v>
      </c>
      <c r="H36" s="37"/>
      <c r="I36" s="296">
        <v>27147268</v>
      </c>
      <c r="J36" s="43">
        <f>+J35+H36-I36</f>
        <v>21389304</v>
      </c>
      <c r="L36" s="115">
        <f>H35</f>
        <v>35182209</v>
      </c>
      <c r="M36" s="101">
        <f>L36*10%</f>
        <v>3518220.9000000004</v>
      </c>
      <c r="N36" s="115">
        <f>I36</f>
        <v>27147268</v>
      </c>
      <c r="O36" s="115">
        <f>SUM(I37:I43)</f>
        <v>2445587</v>
      </c>
      <c r="P36" s="115">
        <f>L36-M36-N36-O36</f>
        <v>2071133.1000000015</v>
      </c>
    </row>
    <row r="37" spans="1:16">
      <c r="B37" s="41"/>
      <c r="C37" s="42"/>
      <c r="D37" s="42"/>
      <c r="E37" s="40">
        <v>455</v>
      </c>
      <c r="F37" s="55" t="s">
        <v>327</v>
      </c>
      <c r="G37" s="55" t="s">
        <v>327</v>
      </c>
      <c r="H37" s="226"/>
      <c r="I37" s="226">
        <v>488340</v>
      </c>
      <c r="J37" s="43">
        <f t="shared" ref="J37:J45" si="3">+J36+H37-I37</f>
        <v>20900964</v>
      </c>
    </row>
    <row r="38" spans="1:16">
      <c r="B38" s="297">
        <v>46113</v>
      </c>
      <c r="C38" s="262">
        <v>32</v>
      </c>
      <c r="D38" s="42">
        <v>274</v>
      </c>
      <c r="E38" s="224">
        <v>598</v>
      </c>
      <c r="F38" s="127" t="s">
        <v>371</v>
      </c>
      <c r="G38" s="127" t="s">
        <v>240</v>
      </c>
      <c r="H38" s="127"/>
      <c r="I38" s="193">
        <v>209545</v>
      </c>
      <c r="J38" s="43">
        <f t="shared" si="3"/>
        <v>20691419</v>
      </c>
    </row>
    <row r="39" spans="1:16">
      <c r="B39" s="41">
        <v>46113</v>
      </c>
      <c r="C39" s="42">
        <v>31</v>
      </c>
      <c r="D39" s="42">
        <v>273</v>
      </c>
      <c r="E39" s="40">
        <v>576</v>
      </c>
      <c r="F39" s="127" t="s">
        <v>371</v>
      </c>
      <c r="G39" s="127" t="s">
        <v>240</v>
      </c>
      <c r="H39" s="37"/>
      <c r="I39" s="37">
        <v>208050</v>
      </c>
      <c r="J39" s="43">
        <f t="shared" si="3"/>
        <v>20483369</v>
      </c>
    </row>
    <row r="40" spans="1:16">
      <c r="B40" s="41">
        <v>46126</v>
      </c>
      <c r="C40" s="42">
        <v>34</v>
      </c>
      <c r="D40" s="42">
        <v>300</v>
      </c>
      <c r="E40" s="40">
        <v>707</v>
      </c>
      <c r="F40" s="42" t="s">
        <v>242</v>
      </c>
      <c r="G40" s="42" t="s">
        <v>242</v>
      </c>
      <c r="H40" s="37"/>
      <c r="I40" s="37">
        <v>115020</v>
      </c>
      <c r="J40" s="43">
        <f t="shared" si="3"/>
        <v>20368349</v>
      </c>
    </row>
    <row r="41" spans="1:16">
      <c r="B41" s="41">
        <v>46121</v>
      </c>
      <c r="C41" s="42">
        <v>33</v>
      </c>
      <c r="D41" s="42" t="s">
        <v>409</v>
      </c>
      <c r="E41" s="40">
        <v>622</v>
      </c>
      <c r="F41" s="42" t="s">
        <v>242</v>
      </c>
      <c r="G41" s="42" t="s">
        <v>242</v>
      </c>
      <c r="H41" s="37"/>
      <c r="I41" s="37">
        <v>599546</v>
      </c>
      <c r="J41" s="43">
        <f t="shared" si="3"/>
        <v>19768803</v>
      </c>
    </row>
    <row r="42" spans="1:16">
      <c r="B42" s="41">
        <v>46129</v>
      </c>
      <c r="C42" s="42">
        <v>35</v>
      </c>
      <c r="D42" s="42">
        <v>310</v>
      </c>
      <c r="E42" s="40">
        <v>647</v>
      </c>
      <c r="F42" s="42" t="s">
        <v>242</v>
      </c>
      <c r="G42" s="42" t="s">
        <v>242</v>
      </c>
      <c r="H42" s="37"/>
      <c r="I42" s="37">
        <v>204120</v>
      </c>
      <c r="J42" s="43">
        <f t="shared" si="3"/>
        <v>19564683</v>
      </c>
    </row>
    <row r="43" spans="1:16">
      <c r="A43" s="35"/>
      <c r="B43" s="41">
        <v>46142</v>
      </c>
      <c r="C43" s="42">
        <v>37</v>
      </c>
      <c r="D43" s="42" t="s">
        <v>447</v>
      </c>
      <c r="E43" s="40">
        <v>781</v>
      </c>
      <c r="F43" s="42" t="s">
        <v>242</v>
      </c>
      <c r="G43" s="42" t="s">
        <v>242</v>
      </c>
      <c r="H43" s="37"/>
      <c r="I43" s="37">
        <v>620966</v>
      </c>
      <c r="J43" s="43">
        <f t="shared" si="3"/>
        <v>18943717</v>
      </c>
    </row>
    <row r="44" spans="1:16">
      <c r="A44" s="35"/>
      <c r="B44" s="127"/>
      <c r="C44" s="127"/>
      <c r="D44" s="127"/>
      <c r="E44" s="224"/>
      <c r="F44" s="127"/>
      <c r="G44" s="127"/>
      <c r="H44" s="127"/>
      <c r="I44" s="127"/>
      <c r="J44" s="43">
        <f t="shared" si="3"/>
        <v>18943717</v>
      </c>
    </row>
    <row r="45" spans="1:16">
      <c r="A45" s="35"/>
      <c r="B45" s="41"/>
      <c r="C45" s="42"/>
      <c r="D45" s="42"/>
      <c r="E45" s="40"/>
      <c r="F45" s="42"/>
      <c r="G45" s="45"/>
      <c r="H45" s="37"/>
      <c r="I45" s="37"/>
      <c r="J45" s="43">
        <f t="shared" si="3"/>
        <v>18943717</v>
      </c>
    </row>
    <row r="46" spans="1:16">
      <c r="A46" s="35"/>
      <c r="B46" s="170"/>
      <c r="C46" s="171"/>
      <c r="D46" s="171"/>
      <c r="E46" s="175"/>
      <c r="F46" s="171"/>
      <c r="G46" s="188"/>
      <c r="H46" s="172"/>
      <c r="I46" s="172"/>
      <c r="J46" s="173"/>
    </row>
    <row r="47" spans="1:16">
      <c r="A47" s="35"/>
      <c r="B47" s="330" t="s">
        <v>120</v>
      </c>
      <c r="C47" s="331"/>
      <c r="D47" s="331"/>
      <c r="E47" s="331"/>
      <c r="F47" s="331"/>
      <c r="G47" s="331"/>
      <c r="H47" s="331"/>
      <c r="I47" s="331"/>
      <c r="J47" s="332"/>
    </row>
    <row r="48" spans="1:16">
      <c r="A48" s="35"/>
      <c r="B48" s="41"/>
      <c r="C48" s="42"/>
      <c r="D48" s="42"/>
      <c r="E48" s="40"/>
      <c r="F48" s="42" t="s">
        <v>171</v>
      </c>
      <c r="G48" s="42" t="s">
        <v>171</v>
      </c>
      <c r="H48" s="37">
        <f>SUBVENCION!K7+SUBVENCION!L7</f>
        <v>35131530</v>
      </c>
      <c r="I48" s="37"/>
      <c r="J48" s="37">
        <f>+J45+H48-I48</f>
        <v>54075247</v>
      </c>
      <c r="K48" s="44" t="s">
        <v>231</v>
      </c>
      <c r="L48" s="97" t="s">
        <v>5</v>
      </c>
      <c r="M48" s="36" t="s">
        <v>214</v>
      </c>
      <c r="N48" s="97" t="s">
        <v>212</v>
      </c>
      <c r="O48" s="97" t="s">
        <v>213</v>
      </c>
      <c r="P48" s="97" t="s">
        <v>7</v>
      </c>
    </row>
    <row r="49" spans="1:16">
      <c r="A49" s="35"/>
      <c r="B49" s="41"/>
      <c r="C49" s="42"/>
      <c r="D49" s="42"/>
      <c r="E49" s="40"/>
      <c r="F49" s="42" t="s">
        <v>199</v>
      </c>
      <c r="G49" s="42" t="s">
        <v>199</v>
      </c>
      <c r="H49" s="37"/>
      <c r="I49" s="37">
        <v>27001114</v>
      </c>
      <c r="J49" s="115">
        <f>+J48+H49-I49</f>
        <v>27074133</v>
      </c>
      <c r="L49" s="115">
        <f>H48</f>
        <v>35131530</v>
      </c>
      <c r="M49" s="101">
        <f>L49*10%</f>
        <v>3513153</v>
      </c>
      <c r="N49" s="115">
        <f>I49</f>
        <v>27001114</v>
      </c>
      <c r="O49" s="115">
        <f>SUM(I50:I60)</f>
        <v>5322153</v>
      </c>
      <c r="P49" s="115">
        <f>L49-M49-N49-O49</f>
        <v>-704890</v>
      </c>
    </row>
    <row r="50" spans="1:16">
      <c r="A50" s="35"/>
      <c r="B50" s="297"/>
      <c r="C50" s="262"/>
      <c r="D50" s="42"/>
      <c r="E50" s="224">
        <v>564</v>
      </c>
      <c r="F50" s="55" t="s">
        <v>327</v>
      </c>
      <c r="G50" s="55" t="s">
        <v>327</v>
      </c>
      <c r="H50" s="127"/>
      <c r="I50" s="63">
        <v>491916</v>
      </c>
      <c r="J50" s="115">
        <f t="shared" ref="J50:J61" si="4">+J49+H50-I50</f>
        <v>26582217</v>
      </c>
    </row>
    <row r="51" spans="1:16">
      <c r="A51" s="35"/>
      <c r="B51" s="41">
        <v>46146</v>
      </c>
      <c r="C51" s="42">
        <v>38</v>
      </c>
      <c r="D51" s="42" t="s">
        <v>448</v>
      </c>
      <c r="E51" s="40">
        <v>773</v>
      </c>
      <c r="F51" s="42" t="s">
        <v>278</v>
      </c>
      <c r="G51" s="42" t="s">
        <v>278</v>
      </c>
      <c r="H51" s="37"/>
      <c r="I51" s="37">
        <v>2017050</v>
      </c>
      <c r="J51" s="115">
        <f t="shared" si="4"/>
        <v>24565167</v>
      </c>
    </row>
    <row r="52" spans="1:16">
      <c r="A52" s="35"/>
      <c r="B52" s="41">
        <v>46146</v>
      </c>
      <c r="C52" s="42">
        <v>39</v>
      </c>
      <c r="D52" s="42">
        <v>378</v>
      </c>
      <c r="E52" s="40">
        <v>757</v>
      </c>
      <c r="F52" s="42" t="s">
        <v>353</v>
      </c>
      <c r="G52" s="42" t="s">
        <v>353</v>
      </c>
      <c r="H52" s="37"/>
      <c r="I52" s="37">
        <v>140000</v>
      </c>
      <c r="J52" s="115">
        <f t="shared" si="4"/>
        <v>24425167</v>
      </c>
    </row>
    <row r="53" spans="1:16">
      <c r="A53" s="35"/>
      <c r="B53" s="41">
        <v>46147</v>
      </c>
      <c r="C53" s="42">
        <v>43</v>
      </c>
      <c r="D53" s="42" t="s">
        <v>515</v>
      </c>
      <c r="E53" s="40">
        <v>1036</v>
      </c>
      <c r="F53" s="42" t="s">
        <v>441</v>
      </c>
      <c r="G53" s="42" t="s">
        <v>441</v>
      </c>
      <c r="H53" s="37"/>
      <c r="I53" s="37">
        <v>712000</v>
      </c>
      <c r="J53" s="115">
        <f t="shared" si="4"/>
        <v>23713167</v>
      </c>
    </row>
    <row r="54" spans="1:16">
      <c r="A54" s="35"/>
      <c r="B54" s="41">
        <v>46147</v>
      </c>
      <c r="C54" s="42">
        <v>41</v>
      </c>
      <c r="D54" s="42">
        <v>401</v>
      </c>
      <c r="E54" s="40">
        <v>772</v>
      </c>
      <c r="F54" s="42" t="s">
        <v>396</v>
      </c>
      <c r="G54" s="45" t="s">
        <v>440</v>
      </c>
      <c r="H54" s="37"/>
      <c r="I54" s="37">
        <v>94395</v>
      </c>
      <c r="J54" s="115">
        <f t="shared" si="4"/>
        <v>23618772</v>
      </c>
    </row>
    <row r="55" spans="1:16">
      <c r="A55" s="35"/>
      <c r="B55" s="41">
        <v>46148</v>
      </c>
      <c r="C55" s="42">
        <v>45</v>
      </c>
      <c r="D55" s="42">
        <v>416</v>
      </c>
      <c r="E55" s="40">
        <v>745</v>
      </c>
      <c r="F55" s="42" t="s">
        <v>272</v>
      </c>
      <c r="G55" s="42" t="s">
        <v>240</v>
      </c>
      <c r="H55" s="37"/>
      <c r="I55" s="37">
        <v>208400</v>
      </c>
      <c r="J55" s="115">
        <f t="shared" si="4"/>
        <v>23410372</v>
      </c>
    </row>
    <row r="56" spans="1:16">
      <c r="A56" s="35"/>
      <c r="B56" s="41">
        <v>46153</v>
      </c>
      <c r="C56" s="42">
        <v>47</v>
      </c>
      <c r="D56" s="42">
        <v>441</v>
      </c>
      <c r="E56" s="40">
        <v>758</v>
      </c>
      <c r="F56" s="42" t="s">
        <v>272</v>
      </c>
      <c r="G56" s="45" t="s">
        <v>445</v>
      </c>
      <c r="H56" s="37"/>
      <c r="I56" s="37">
        <v>204504</v>
      </c>
      <c r="J56" s="115">
        <f t="shared" si="4"/>
        <v>23205868</v>
      </c>
    </row>
    <row r="57" spans="1:16">
      <c r="A57" s="35"/>
      <c r="B57" s="41">
        <v>46153</v>
      </c>
      <c r="C57" s="42">
        <v>46</v>
      </c>
      <c r="D57" s="42">
        <v>435</v>
      </c>
      <c r="E57" s="40">
        <v>805</v>
      </c>
      <c r="F57" s="42" t="s">
        <v>272</v>
      </c>
      <c r="G57" s="42" t="s">
        <v>272</v>
      </c>
      <c r="H57" s="37"/>
      <c r="I57" s="37">
        <v>211338</v>
      </c>
      <c r="J57" s="115">
        <f t="shared" si="4"/>
        <v>22994530</v>
      </c>
      <c r="N57" s="44" t="s">
        <v>223</v>
      </c>
    </row>
    <row r="58" spans="1:16">
      <c r="A58" s="35"/>
      <c r="B58" s="41">
        <v>46155</v>
      </c>
      <c r="C58" s="42">
        <v>48</v>
      </c>
      <c r="D58" s="42" t="s">
        <v>585</v>
      </c>
      <c r="E58" s="40">
        <v>1068</v>
      </c>
      <c r="F58" s="42" t="s">
        <v>278</v>
      </c>
      <c r="G58" s="42" t="s">
        <v>278</v>
      </c>
      <c r="H58" s="37"/>
      <c r="I58" s="37">
        <v>310000</v>
      </c>
      <c r="J58" s="115">
        <f t="shared" si="4"/>
        <v>22684530</v>
      </c>
    </row>
    <row r="59" spans="1:16">
      <c r="A59" s="35"/>
      <c r="B59" s="41">
        <v>46160</v>
      </c>
      <c r="C59" s="42">
        <v>53</v>
      </c>
      <c r="D59" s="42">
        <v>462</v>
      </c>
      <c r="E59" s="40">
        <v>825</v>
      </c>
      <c r="F59" s="42" t="s">
        <v>272</v>
      </c>
      <c r="G59" s="45" t="s">
        <v>445</v>
      </c>
      <c r="H59" s="37"/>
      <c r="I59" s="37">
        <v>204600</v>
      </c>
      <c r="J59" s="115">
        <f t="shared" si="4"/>
        <v>22479930</v>
      </c>
      <c r="N59" s="44" t="s">
        <v>223</v>
      </c>
    </row>
    <row r="60" spans="1:16">
      <c r="A60" s="35"/>
      <c r="B60" s="41">
        <v>46164</v>
      </c>
      <c r="C60" s="42" t="s">
        <v>452</v>
      </c>
      <c r="D60" s="42" t="s">
        <v>493</v>
      </c>
      <c r="E60" s="40">
        <v>960</v>
      </c>
      <c r="F60" s="42" t="s">
        <v>272</v>
      </c>
      <c r="G60" s="45" t="s">
        <v>240</v>
      </c>
      <c r="H60" s="37"/>
      <c r="I60" s="37">
        <v>727950</v>
      </c>
      <c r="J60" s="115">
        <f t="shared" si="4"/>
        <v>21751980</v>
      </c>
    </row>
    <row r="61" spans="1:16">
      <c r="A61" s="35"/>
      <c r="B61" s="41"/>
      <c r="C61" s="42"/>
      <c r="D61" s="42"/>
      <c r="E61" s="40"/>
      <c r="F61" s="42"/>
      <c r="G61" s="45"/>
      <c r="H61" s="37"/>
      <c r="I61" s="37"/>
      <c r="J61" s="115">
        <f t="shared" si="4"/>
        <v>21751980</v>
      </c>
    </row>
    <row r="62" spans="1:16">
      <c r="A62" s="35"/>
      <c r="B62" s="330" t="s">
        <v>129</v>
      </c>
      <c r="C62" s="331"/>
      <c r="D62" s="331"/>
      <c r="E62" s="331"/>
      <c r="F62" s="331"/>
      <c r="G62" s="331"/>
      <c r="H62" s="331"/>
      <c r="I62" s="331"/>
      <c r="J62" s="332"/>
    </row>
    <row r="63" spans="1:16">
      <c r="A63" s="35"/>
      <c r="B63" s="41"/>
      <c r="C63" s="42"/>
      <c r="D63" s="42"/>
      <c r="E63" s="40"/>
      <c r="F63" s="42" t="s">
        <v>171</v>
      </c>
      <c r="G63" s="42" t="s">
        <v>171</v>
      </c>
      <c r="H63" s="37">
        <f>SUBVENCION!M7+SUBVENCION!N7</f>
        <v>32756444</v>
      </c>
      <c r="I63" s="37"/>
      <c r="J63" s="43">
        <f>+J61+H63-I63</f>
        <v>54508424</v>
      </c>
      <c r="K63" s="44" t="s">
        <v>225</v>
      </c>
      <c r="L63" s="97" t="s">
        <v>5</v>
      </c>
      <c r="M63" s="36" t="s">
        <v>214</v>
      </c>
      <c r="N63" s="97" t="s">
        <v>212</v>
      </c>
      <c r="O63" s="97" t="s">
        <v>213</v>
      </c>
      <c r="P63" s="97" t="s">
        <v>7</v>
      </c>
    </row>
    <row r="64" spans="1:16">
      <c r="A64" s="35"/>
      <c r="B64" s="41"/>
      <c r="C64" s="42"/>
      <c r="D64" s="42"/>
      <c r="E64" s="40"/>
      <c r="F64" s="42" t="s">
        <v>199</v>
      </c>
      <c r="G64" s="42" t="s">
        <v>199</v>
      </c>
      <c r="H64" s="37"/>
      <c r="I64" s="37">
        <v>27705203</v>
      </c>
      <c r="J64" s="43">
        <f>+J63+H64-I64</f>
        <v>26803221</v>
      </c>
      <c r="L64" s="115">
        <f>H63</f>
        <v>32756444</v>
      </c>
      <c r="M64" s="101">
        <f>L64*10%</f>
        <v>3275644.4000000004</v>
      </c>
      <c r="N64" s="115">
        <f>I64</f>
        <v>27705203</v>
      </c>
      <c r="O64" s="115">
        <f>I65+I66+I67+I68+I69+I70+I71</f>
        <v>2260134</v>
      </c>
      <c r="P64" s="115">
        <f>L64-M64-N64-O64</f>
        <v>-484537.39999999851</v>
      </c>
    </row>
    <row r="65" spans="1:16">
      <c r="A65" s="35"/>
      <c r="B65" s="297"/>
      <c r="C65" s="262"/>
      <c r="D65" s="42"/>
      <c r="E65" s="224">
        <v>791</v>
      </c>
      <c r="F65" s="55" t="s">
        <v>327</v>
      </c>
      <c r="G65" s="55" t="s">
        <v>327</v>
      </c>
      <c r="H65" s="127"/>
      <c r="I65" s="63">
        <v>497972</v>
      </c>
      <c r="J65" s="43">
        <f t="shared" ref="J65:J71" si="5">+J64+H65-I65</f>
        <v>26305249</v>
      </c>
    </row>
    <row r="66" spans="1:16">
      <c r="A66" s="35"/>
      <c r="B66" s="41">
        <v>46177</v>
      </c>
      <c r="C66" s="42">
        <v>62</v>
      </c>
      <c r="D66" s="42" t="s">
        <v>589</v>
      </c>
      <c r="E66" s="236"/>
      <c r="F66" s="42" t="s">
        <v>477</v>
      </c>
      <c r="G66" s="42" t="s">
        <v>477</v>
      </c>
      <c r="H66" s="37"/>
      <c r="I66" s="37">
        <v>271177</v>
      </c>
      <c r="J66" s="43">
        <f t="shared" si="5"/>
        <v>26034072</v>
      </c>
    </row>
    <row r="67" spans="1:16">
      <c r="A67" s="35"/>
      <c r="B67" s="41">
        <v>46176</v>
      </c>
      <c r="C67" s="42">
        <v>60</v>
      </c>
      <c r="D67" s="42" t="s">
        <v>481</v>
      </c>
      <c r="E67" s="40">
        <v>1030</v>
      </c>
      <c r="F67" s="42" t="s">
        <v>283</v>
      </c>
      <c r="G67" s="42" t="s">
        <v>283</v>
      </c>
      <c r="H67" s="37"/>
      <c r="I67" s="37">
        <v>211726</v>
      </c>
      <c r="J67" s="43">
        <f t="shared" si="5"/>
        <v>25822346</v>
      </c>
    </row>
    <row r="68" spans="1:16">
      <c r="A68" s="35"/>
      <c r="B68" s="41">
        <v>46175</v>
      </c>
      <c r="C68" s="42">
        <v>59</v>
      </c>
      <c r="D68" s="42">
        <v>535</v>
      </c>
      <c r="E68" s="40">
        <v>1070</v>
      </c>
      <c r="F68" s="42" t="s">
        <v>222</v>
      </c>
      <c r="G68" s="42" t="s">
        <v>219</v>
      </c>
      <c r="H68" s="37"/>
      <c r="I68" s="37">
        <v>200000</v>
      </c>
      <c r="J68" s="43">
        <f t="shared" si="5"/>
        <v>25622346</v>
      </c>
    </row>
    <row r="69" spans="1:16">
      <c r="A69" s="35"/>
      <c r="B69" s="41">
        <v>46178</v>
      </c>
      <c r="C69" s="42">
        <v>64</v>
      </c>
      <c r="D69" s="42" t="s">
        <v>601</v>
      </c>
      <c r="E69" s="40">
        <v>1250</v>
      </c>
      <c r="F69" s="42" t="s">
        <v>272</v>
      </c>
      <c r="G69" s="42" t="s">
        <v>297</v>
      </c>
      <c r="H69" s="37"/>
      <c r="I69" s="37">
        <v>473608</v>
      </c>
      <c r="J69" s="43">
        <f t="shared" si="5"/>
        <v>25148738</v>
      </c>
    </row>
    <row r="70" spans="1:16">
      <c r="A70" s="35"/>
      <c r="B70" s="41">
        <v>46183</v>
      </c>
      <c r="C70" s="42">
        <v>67</v>
      </c>
      <c r="D70" s="42" t="s">
        <v>536</v>
      </c>
      <c r="E70" s="40">
        <v>1073</v>
      </c>
      <c r="F70" s="42" t="s">
        <v>349</v>
      </c>
      <c r="G70" s="42" t="s">
        <v>349</v>
      </c>
      <c r="H70" s="37"/>
      <c r="I70" s="37">
        <v>605651</v>
      </c>
      <c r="J70" s="43">
        <f t="shared" si="5"/>
        <v>24543087</v>
      </c>
    </row>
    <row r="71" spans="1:16">
      <c r="A71" s="35"/>
      <c r="B71" s="230"/>
      <c r="C71" s="127"/>
      <c r="D71" s="127"/>
      <c r="E71" s="127"/>
      <c r="F71" s="127"/>
      <c r="G71" s="127"/>
      <c r="H71" s="127"/>
      <c r="I71" s="127"/>
      <c r="J71" s="43">
        <f t="shared" si="5"/>
        <v>24543087</v>
      </c>
    </row>
    <row r="72" spans="1:16">
      <c r="A72" s="35"/>
      <c r="B72" s="330" t="s">
        <v>65</v>
      </c>
      <c r="C72" s="331"/>
      <c r="D72" s="331"/>
      <c r="E72" s="331"/>
      <c r="F72" s="331"/>
      <c r="G72" s="331"/>
      <c r="H72" s="331"/>
      <c r="I72" s="331"/>
      <c r="J72" s="332"/>
    </row>
    <row r="73" spans="1:16">
      <c r="A73" s="35"/>
      <c r="B73" s="41"/>
      <c r="C73" s="42"/>
      <c r="D73" s="42"/>
      <c r="E73" s="40"/>
      <c r="F73" s="42" t="s">
        <v>171</v>
      </c>
      <c r="G73" s="42" t="s">
        <v>171</v>
      </c>
      <c r="H73" s="37">
        <f>+SUBVENCION!O7+SUBVENCION!P7</f>
        <v>34681189</v>
      </c>
      <c r="I73" s="37"/>
      <c r="J73" s="43">
        <f>+J71+H73-I73</f>
        <v>59224276</v>
      </c>
      <c r="K73" s="44" t="s">
        <v>226</v>
      </c>
      <c r="L73" s="97" t="s">
        <v>5</v>
      </c>
      <c r="M73" s="36" t="s">
        <v>214</v>
      </c>
      <c r="N73" s="97" t="s">
        <v>212</v>
      </c>
      <c r="O73" s="97" t="s">
        <v>213</v>
      </c>
      <c r="P73" s="97" t="s">
        <v>7</v>
      </c>
    </row>
    <row r="74" spans="1:16">
      <c r="A74" s="35"/>
      <c r="B74" s="41"/>
      <c r="C74" s="42"/>
      <c r="D74" s="42"/>
      <c r="E74" s="40"/>
      <c r="F74" s="42" t="s">
        <v>199</v>
      </c>
      <c r="G74" s="42" t="s">
        <v>199</v>
      </c>
      <c r="H74" s="37"/>
      <c r="I74" s="37">
        <v>27084372</v>
      </c>
      <c r="J74" s="43">
        <f>J73+H74-I74</f>
        <v>32139904</v>
      </c>
      <c r="L74" s="115">
        <f>H73</f>
        <v>34681189</v>
      </c>
      <c r="M74" s="101">
        <f>L74*10%</f>
        <v>3468118.9000000004</v>
      </c>
      <c r="N74" s="115">
        <f>I74</f>
        <v>27084372</v>
      </c>
      <c r="O74" s="115">
        <f>I75+I76+I79+I77+I78</f>
        <v>1219408</v>
      </c>
      <c r="P74" s="115">
        <f>L74-M74-N74-O74</f>
        <v>2909290.1000000015</v>
      </c>
    </row>
    <row r="75" spans="1:16">
      <c r="A75" s="35"/>
      <c r="B75" s="41"/>
      <c r="C75" s="42"/>
      <c r="D75" s="42"/>
      <c r="E75" s="40">
        <v>995</v>
      </c>
      <c r="F75" s="55" t="s">
        <v>327</v>
      </c>
      <c r="G75" s="55" t="s">
        <v>327</v>
      </c>
      <c r="H75" s="127"/>
      <c r="I75" s="63">
        <v>500368</v>
      </c>
      <c r="J75" s="43">
        <f t="shared" ref="J75:J79" si="6">J74+H75-I75</f>
        <v>31639536</v>
      </c>
    </row>
    <row r="76" spans="1:16">
      <c r="A76" s="35"/>
      <c r="B76" s="41">
        <v>46216</v>
      </c>
      <c r="C76" s="42">
        <v>70</v>
      </c>
      <c r="D76" s="42">
        <v>645</v>
      </c>
      <c r="E76" s="40">
        <v>1163</v>
      </c>
      <c r="F76" s="42" t="s">
        <v>507</v>
      </c>
      <c r="G76" s="45" t="s">
        <v>535</v>
      </c>
      <c r="H76" s="37"/>
      <c r="I76" s="37">
        <v>84000</v>
      </c>
      <c r="J76" s="43">
        <f t="shared" si="6"/>
        <v>31555536</v>
      </c>
    </row>
    <row r="77" spans="1:16">
      <c r="A77" s="35"/>
      <c r="B77" s="41">
        <v>46226</v>
      </c>
      <c r="C77" s="42">
        <v>72</v>
      </c>
      <c r="D77" s="42">
        <v>707</v>
      </c>
      <c r="E77" s="236"/>
      <c r="F77" s="42" t="s">
        <v>272</v>
      </c>
      <c r="G77" s="45" t="s">
        <v>563</v>
      </c>
      <c r="H77" s="37"/>
      <c r="I77" s="37">
        <v>213980</v>
      </c>
      <c r="J77" s="43">
        <f t="shared" si="6"/>
        <v>31341556</v>
      </c>
    </row>
    <row r="78" spans="1:16">
      <c r="A78" s="35"/>
      <c r="B78" s="41">
        <v>46228</v>
      </c>
      <c r="C78" s="42">
        <v>74</v>
      </c>
      <c r="D78" s="42">
        <v>708</v>
      </c>
      <c r="E78" s="40">
        <v>1284</v>
      </c>
      <c r="F78" s="42" t="s">
        <v>519</v>
      </c>
      <c r="G78" s="45" t="s">
        <v>564</v>
      </c>
      <c r="H78" s="37"/>
      <c r="I78" s="37">
        <v>207060</v>
      </c>
      <c r="J78" s="43">
        <f t="shared" si="6"/>
        <v>31134496</v>
      </c>
    </row>
    <row r="79" spans="1:16">
      <c r="A79" s="35"/>
      <c r="B79" s="41">
        <v>46234</v>
      </c>
      <c r="C79" s="42">
        <v>76</v>
      </c>
      <c r="D79" s="42">
        <v>743</v>
      </c>
      <c r="E79" s="40">
        <v>1283</v>
      </c>
      <c r="F79" s="42" t="s">
        <v>507</v>
      </c>
      <c r="G79" s="45" t="s">
        <v>507</v>
      </c>
      <c r="H79" s="37"/>
      <c r="I79" s="37">
        <v>214000</v>
      </c>
      <c r="J79" s="43">
        <f t="shared" si="6"/>
        <v>30920496</v>
      </c>
    </row>
    <row r="80" spans="1:16">
      <c r="A80" s="35"/>
      <c r="B80" s="320" t="s">
        <v>130</v>
      </c>
      <c r="C80" s="321"/>
      <c r="D80" s="321"/>
      <c r="E80" s="321"/>
      <c r="F80" s="321"/>
      <c r="G80" s="321"/>
      <c r="H80" s="321"/>
      <c r="I80" s="321"/>
      <c r="J80" s="322"/>
    </row>
    <row r="81" spans="1:16">
      <c r="A81" s="35"/>
      <c r="B81" s="41"/>
      <c r="C81" s="42"/>
      <c r="D81" s="42"/>
      <c r="E81" s="40"/>
      <c r="F81" s="42" t="s">
        <v>171</v>
      </c>
      <c r="G81" s="42" t="s">
        <v>171</v>
      </c>
      <c r="H81" s="37">
        <f>+SUBVENCION!Q7+SUBVENCION!R7</f>
        <v>34138573</v>
      </c>
      <c r="I81" s="37"/>
      <c r="J81" s="43">
        <f>+J79+H81-I81</f>
        <v>65059069</v>
      </c>
      <c r="K81" s="44" t="s">
        <v>227</v>
      </c>
      <c r="L81" s="97" t="s">
        <v>5</v>
      </c>
      <c r="M81" s="36" t="s">
        <v>214</v>
      </c>
      <c r="N81" s="97" t="s">
        <v>212</v>
      </c>
      <c r="O81" s="97" t="s">
        <v>213</v>
      </c>
      <c r="P81" s="97" t="s">
        <v>7</v>
      </c>
    </row>
    <row r="82" spans="1:16">
      <c r="A82" s="35"/>
      <c r="B82" s="41"/>
      <c r="C82" s="42"/>
      <c r="D82" s="42"/>
      <c r="E82" s="40"/>
      <c r="F82" s="42" t="s">
        <v>199</v>
      </c>
      <c r="G82" s="42" t="s">
        <v>199</v>
      </c>
      <c r="H82" s="37"/>
      <c r="I82" s="37">
        <v>27015183</v>
      </c>
      <c r="J82" s="43">
        <f>+J81+H82-I82</f>
        <v>38043886</v>
      </c>
      <c r="L82" s="115">
        <f>H81</f>
        <v>34138573</v>
      </c>
      <c r="M82" s="101">
        <f>H81*10%</f>
        <v>3413857.3000000003</v>
      </c>
      <c r="N82" s="115">
        <f>I82</f>
        <v>27015183</v>
      </c>
      <c r="O82" s="115">
        <f>I83+I84+I85+I86+I91+I87+I88+I89+I90</f>
        <v>1829358</v>
      </c>
      <c r="P82" s="115">
        <f>L82-M82-N82-O82</f>
        <v>1880174.6999999993</v>
      </c>
    </row>
    <row r="83" spans="1:16">
      <c r="A83" s="35"/>
      <c r="B83" s="41"/>
      <c r="C83" s="42"/>
      <c r="D83" s="42"/>
      <c r="E83" s="40">
        <v>1405</v>
      </c>
      <c r="F83" s="55" t="s">
        <v>327</v>
      </c>
      <c r="G83" s="55" t="s">
        <v>327</v>
      </c>
      <c r="H83" s="127"/>
      <c r="I83" s="63">
        <v>500634</v>
      </c>
      <c r="J83" s="43">
        <f t="shared" ref="J83:J90" si="7">+J82+H83-I83</f>
        <v>37543252</v>
      </c>
    </row>
    <row r="84" spans="1:16">
      <c r="A84" s="35"/>
      <c r="B84" s="41">
        <v>46238</v>
      </c>
      <c r="C84" s="42">
        <v>81</v>
      </c>
      <c r="D84" s="42">
        <v>761</v>
      </c>
      <c r="E84" s="40">
        <v>1285</v>
      </c>
      <c r="F84" s="42" t="s">
        <v>222</v>
      </c>
      <c r="G84" s="42" t="s">
        <v>219</v>
      </c>
      <c r="H84" s="37"/>
      <c r="I84" s="37">
        <v>200000</v>
      </c>
      <c r="J84" s="43">
        <f t="shared" si="7"/>
        <v>37343252</v>
      </c>
    </row>
    <row r="85" spans="1:16">
      <c r="A85" s="35"/>
      <c r="B85" s="41">
        <v>46247</v>
      </c>
      <c r="C85" s="42">
        <v>83</v>
      </c>
      <c r="D85" s="42">
        <v>796</v>
      </c>
      <c r="E85" s="40">
        <v>1392</v>
      </c>
      <c r="F85" s="42" t="s">
        <v>222</v>
      </c>
      <c r="G85" s="42" t="s">
        <v>219</v>
      </c>
      <c r="H85" s="61"/>
      <c r="I85" s="37">
        <v>200000</v>
      </c>
      <c r="J85" s="43">
        <f t="shared" si="7"/>
        <v>37143252</v>
      </c>
    </row>
    <row r="86" spans="1:16">
      <c r="A86" s="35"/>
      <c r="B86" s="41">
        <v>46247</v>
      </c>
      <c r="C86" s="42">
        <v>82</v>
      </c>
      <c r="D86" s="42">
        <v>795</v>
      </c>
      <c r="E86" s="40">
        <v>1340</v>
      </c>
      <c r="F86" s="42" t="s">
        <v>272</v>
      </c>
      <c r="G86" s="42" t="s">
        <v>645</v>
      </c>
      <c r="H86" s="61"/>
      <c r="I86" s="37">
        <v>214914</v>
      </c>
      <c r="J86" s="43">
        <f t="shared" si="7"/>
        <v>36928338</v>
      </c>
    </row>
    <row r="87" spans="1:16">
      <c r="A87" s="35"/>
      <c r="B87" s="41">
        <v>46253</v>
      </c>
      <c r="C87" s="42">
        <v>85</v>
      </c>
      <c r="D87" s="42">
        <v>833</v>
      </c>
      <c r="E87" s="40">
        <v>1391</v>
      </c>
      <c r="F87" s="42" t="s">
        <v>507</v>
      </c>
      <c r="G87" s="42" t="s">
        <v>507</v>
      </c>
      <c r="H87" s="61"/>
      <c r="I87" s="37">
        <v>73950</v>
      </c>
      <c r="J87" s="43">
        <f t="shared" si="7"/>
        <v>36854388</v>
      </c>
    </row>
    <row r="88" spans="1:16">
      <c r="A88" s="35"/>
      <c r="B88" s="41">
        <v>46253</v>
      </c>
      <c r="C88" s="42">
        <v>87</v>
      </c>
      <c r="D88" s="42">
        <v>834</v>
      </c>
      <c r="E88" s="40"/>
      <c r="F88" s="42" t="s">
        <v>507</v>
      </c>
      <c r="G88" s="42" t="s">
        <v>507</v>
      </c>
      <c r="H88" s="61"/>
      <c r="I88" s="37">
        <v>212930</v>
      </c>
      <c r="J88" s="43">
        <f t="shared" si="7"/>
        <v>36641458</v>
      </c>
    </row>
    <row r="89" spans="1:16">
      <c r="A89" s="35"/>
      <c r="B89" s="41">
        <v>46254</v>
      </c>
      <c r="C89" s="42">
        <v>88</v>
      </c>
      <c r="D89" s="42">
        <v>849</v>
      </c>
      <c r="E89" s="40"/>
      <c r="F89" s="42" t="s">
        <v>507</v>
      </c>
      <c r="G89" s="42" t="s">
        <v>674</v>
      </c>
      <c r="H89" s="61"/>
      <c r="I89" s="37">
        <v>212930</v>
      </c>
      <c r="J89" s="43">
        <f t="shared" si="7"/>
        <v>36428528</v>
      </c>
    </row>
    <row r="90" spans="1:16">
      <c r="A90" s="35"/>
      <c r="B90" s="41">
        <v>46261</v>
      </c>
      <c r="C90" s="42">
        <v>91</v>
      </c>
      <c r="D90" s="42">
        <v>891</v>
      </c>
      <c r="E90" s="40"/>
      <c r="F90" s="42" t="s">
        <v>272</v>
      </c>
      <c r="G90" s="42" t="s">
        <v>705</v>
      </c>
      <c r="H90" s="61"/>
      <c r="I90" s="37">
        <v>214000</v>
      </c>
      <c r="J90" s="43">
        <f t="shared" si="7"/>
        <v>36214528</v>
      </c>
    </row>
    <row r="91" spans="1:16">
      <c r="A91" s="35"/>
      <c r="B91" s="41"/>
      <c r="C91" s="42"/>
      <c r="D91" s="42"/>
      <c r="E91" s="40"/>
      <c r="F91" s="42"/>
      <c r="G91" s="42"/>
      <c r="H91" s="61"/>
      <c r="I91" s="37"/>
      <c r="J91" s="43">
        <f>+J90+H91-I91</f>
        <v>36214528</v>
      </c>
    </row>
    <row r="92" spans="1:16">
      <c r="A92" s="35"/>
      <c r="B92" s="320" t="s">
        <v>168</v>
      </c>
      <c r="C92" s="321"/>
      <c r="D92" s="321"/>
      <c r="E92" s="321"/>
      <c r="F92" s="321"/>
      <c r="G92" s="321"/>
      <c r="H92" s="321"/>
      <c r="I92" s="321"/>
      <c r="J92" s="322"/>
    </row>
    <row r="93" spans="1:16">
      <c r="A93" s="35"/>
      <c r="B93" s="41"/>
      <c r="C93" s="42"/>
      <c r="D93" s="42"/>
      <c r="E93" s="40"/>
      <c r="F93" s="42" t="s">
        <v>171</v>
      </c>
      <c r="G93" s="42" t="s">
        <v>171</v>
      </c>
      <c r="H93" s="37">
        <f>+SUBVENCION!S7+SUBVENCION!T7</f>
        <v>33867444</v>
      </c>
      <c r="I93" s="37"/>
      <c r="J93" s="43">
        <f>+J91+H93-I93</f>
        <v>70081972</v>
      </c>
      <c r="K93" s="44" t="s">
        <v>228</v>
      </c>
      <c r="L93" s="97" t="s">
        <v>5</v>
      </c>
      <c r="M93" s="36" t="s">
        <v>214</v>
      </c>
      <c r="N93" s="97" t="s">
        <v>212</v>
      </c>
      <c r="O93" s="97" t="s">
        <v>213</v>
      </c>
      <c r="P93" s="97" t="s">
        <v>7</v>
      </c>
    </row>
    <row r="94" spans="1:16">
      <c r="A94" s="35"/>
      <c r="B94" s="41"/>
      <c r="C94" s="42"/>
      <c r="D94" s="42"/>
      <c r="E94" s="40"/>
      <c r="F94" s="42" t="s">
        <v>199</v>
      </c>
      <c r="G94" s="42" t="s">
        <v>199</v>
      </c>
      <c r="H94" s="37"/>
      <c r="I94" s="37">
        <v>27131966</v>
      </c>
      <c r="J94" s="43">
        <f>+J93+H94-I94</f>
        <v>42950006</v>
      </c>
      <c r="L94" s="115">
        <f>H93</f>
        <v>33867444</v>
      </c>
      <c r="M94" s="101">
        <f>L94*10%</f>
        <v>3386744.4000000004</v>
      </c>
      <c r="N94" s="115">
        <f>I94</f>
        <v>27131966</v>
      </c>
      <c r="O94" s="115">
        <f>SUM(I95:I111)</f>
        <v>3002010</v>
      </c>
      <c r="P94" s="115">
        <f>L94-M94-N94-O94</f>
        <v>346723.60000000149</v>
      </c>
    </row>
    <row r="95" spans="1:16">
      <c r="A95" s="35"/>
      <c r="B95" s="198"/>
      <c r="C95" s="199"/>
      <c r="D95" s="199"/>
      <c r="E95" s="178"/>
      <c r="F95" s="55" t="s">
        <v>327</v>
      </c>
      <c r="G95" s="55" t="s">
        <v>327</v>
      </c>
      <c r="H95" s="127"/>
      <c r="I95" s="63"/>
      <c r="J95" s="43">
        <f t="shared" ref="J95:J111" si="8">+J94+H95-I95</f>
        <v>42950006</v>
      </c>
    </row>
    <row r="96" spans="1:16">
      <c r="A96" s="35"/>
      <c r="B96" s="198">
        <v>46268</v>
      </c>
      <c r="C96" s="199">
        <v>93</v>
      </c>
      <c r="D96" s="199">
        <v>928</v>
      </c>
      <c r="E96" s="200"/>
      <c r="F96" s="199" t="s">
        <v>554</v>
      </c>
      <c r="G96" s="201" t="s">
        <v>718</v>
      </c>
      <c r="H96" s="37"/>
      <c r="I96" s="37">
        <v>179980</v>
      </c>
      <c r="J96" s="43">
        <f t="shared" si="8"/>
        <v>42770026</v>
      </c>
    </row>
    <row r="97" spans="1:10">
      <c r="A97" s="35"/>
      <c r="B97" s="198">
        <v>46269</v>
      </c>
      <c r="C97" s="199">
        <v>94</v>
      </c>
      <c r="D97" s="199">
        <v>940</v>
      </c>
      <c r="E97" s="178"/>
      <c r="F97" s="199" t="s">
        <v>507</v>
      </c>
      <c r="G97" s="201" t="s">
        <v>674</v>
      </c>
      <c r="H97" s="37"/>
      <c r="I97" s="37">
        <v>93530</v>
      </c>
      <c r="J97" s="43">
        <f t="shared" si="8"/>
        <v>42676496</v>
      </c>
    </row>
    <row r="98" spans="1:10">
      <c r="A98" s="35"/>
      <c r="B98" s="198">
        <v>46272</v>
      </c>
      <c r="C98" s="199">
        <v>95</v>
      </c>
      <c r="D98" s="199" t="s">
        <v>774</v>
      </c>
      <c r="E98" s="200" t="s">
        <v>701</v>
      </c>
      <c r="F98" s="199" t="s">
        <v>736</v>
      </c>
      <c r="G98" s="201" t="s">
        <v>736</v>
      </c>
      <c r="H98" s="189"/>
      <c r="I98" s="37">
        <v>414120</v>
      </c>
      <c r="J98" s="43">
        <f t="shared" si="8"/>
        <v>42262376</v>
      </c>
    </row>
    <row r="99" spans="1:10">
      <c r="A99" s="35"/>
      <c r="B99" s="41">
        <v>46274</v>
      </c>
      <c r="C99" s="42">
        <v>96</v>
      </c>
      <c r="D99" s="42">
        <v>959</v>
      </c>
      <c r="E99" s="40"/>
      <c r="F99" s="42" t="s">
        <v>272</v>
      </c>
      <c r="G99" s="42" t="s">
        <v>737</v>
      </c>
      <c r="H99" s="37"/>
      <c r="I99" s="37">
        <v>214200</v>
      </c>
      <c r="J99" s="43">
        <f t="shared" si="8"/>
        <v>42048176</v>
      </c>
    </row>
    <row r="100" spans="1:10">
      <c r="A100" s="35"/>
      <c r="B100" s="41">
        <v>46286</v>
      </c>
      <c r="C100" s="42">
        <v>97</v>
      </c>
      <c r="D100" s="42">
        <v>987</v>
      </c>
      <c r="E100" s="40"/>
      <c r="F100" s="42" t="s">
        <v>272</v>
      </c>
      <c r="G100" s="42" t="s">
        <v>753</v>
      </c>
      <c r="H100" s="37"/>
      <c r="I100" s="37">
        <v>77350</v>
      </c>
      <c r="J100" s="43">
        <f t="shared" si="8"/>
        <v>41970826</v>
      </c>
    </row>
    <row r="101" spans="1:10">
      <c r="A101" s="35"/>
      <c r="B101" s="41">
        <v>46287</v>
      </c>
      <c r="C101" s="42">
        <v>98</v>
      </c>
      <c r="D101" s="42">
        <v>995</v>
      </c>
      <c r="E101" s="236"/>
      <c r="F101" s="42" t="s">
        <v>507</v>
      </c>
      <c r="G101" s="42" t="s">
        <v>507</v>
      </c>
      <c r="H101" s="37"/>
      <c r="I101" s="37">
        <v>214000</v>
      </c>
      <c r="J101" s="43">
        <f t="shared" si="8"/>
        <v>41756826</v>
      </c>
    </row>
    <row r="102" spans="1:10">
      <c r="A102" s="35"/>
      <c r="B102" s="41">
        <v>46289</v>
      </c>
      <c r="C102" s="42">
        <v>102</v>
      </c>
      <c r="D102" s="42">
        <v>1013</v>
      </c>
      <c r="E102" s="236"/>
      <c r="F102" s="42" t="s">
        <v>283</v>
      </c>
      <c r="G102" s="42" t="s">
        <v>501</v>
      </c>
      <c r="H102" s="37"/>
      <c r="I102" s="37">
        <v>120000</v>
      </c>
      <c r="J102" s="43">
        <f t="shared" si="8"/>
        <v>41636826</v>
      </c>
    </row>
    <row r="103" spans="1:10">
      <c r="A103" s="35"/>
      <c r="B103" s="41">
        <v>46289</v>
      </c>
      <c r="C103" s="42">
        <v>103</v>
      </c>
      <c r="D103" s="42">
        <v>1014</v>
      </c>
      <c r="E103" s="40" t="s">
        <v>701</v>
      </c>
      <c r="F103" s="42" t="s">
        <v>519</v>
      </c>
      <c r="G103" s="45" t="s">
        <v>278</v>
      </c>
      <c r="H103" s="37"/>
      <c r="I103" s="37">
        <v>130000</v>
      </c>
      <c r="J103" s="43">
        <f t="shared" si="8"/>
        <v>41506826</v>
      </c>
    </row>
    <row r="104" spans="1:10">
      <c r="A104" s="35"/>
      <c r="B104" s="170">
        <v>46293</v>
      </c>
      <c r="C104" s="42">
        <v>104</v>
      </c>
      <c r="D104" s="42">
        <v>1026</v>
      </c>
      <c r="E104" s="40" t="s">
        <v>701</v>
      </c>
      <c r="F104" s="42" t="s">
        <v>272</v>
      </c>
      <c r="G104" s="188" t="s">
        <v>769</v>
      </c>
      <c r="H104" s="37"/>
      <c r="I104" s="37">
        <v>214914</v>
      </c>
      <c r="J104" s="43">
        <f t="shared" si="8"/>
        <v>41291912</v>
      </c>
    </row>
    <row r="105" spans="1:10">
      <c r="A105" s="35"/>
      <c r="B105" s="170">
        <v>46293</v>
      </c>
      <c r="C105" s="42">
        <v>106</v>
      </c>
      <c r="D105" s="42">
        <v>1025</v>
      </c>
      <c r="E105" s="40" t="s">
        <v>701</v>
      </c>
      <c r="F105" s="42" t="s">
        <v>272</v>
      </c>
      <c r="G105" s="188" t="s">
        <v>349</v>
      </c>
      <c r="H105" s="37"/>
      <c r="I105" s="37">
        <v>209580</v>
      </c>
      <c r="J105" s="43">
        <f t="shared" si="8"/>
        <v>41082332</v>
      </c>
    </row>
    <row r="106" spans="1:10">
      <c r="A106" s="35"/>
      <c r="B106" s="170">
        <v>46289</v>
      </c>
      <c r="C106" s="42">
        <v>105</v>
      </c>
      <c r="D106" s="42" t="s">
        <v>354</v>
      </c>
      <c r="E106" s="40"/>
      <c r="F106" s="42" t="s">
        <v>554</v>
      </c>
      <c r="G106" s="188" t="s">
        <v>779</v>
      </c>
      <c r="H106" s="37"/>
      <c r="I106" s="37">
        <v>605000</v>
      </c>
      <c r="J106" s="43">
        <f t="shared" si="8"/>
        <v>40477332</v>
      </c>
    </row>
    <row r="107" spans="1:10">
      <c r="A107" s="35"/>
      <c r="B107" s="170">
        <v>46293</v>
      </c>
      <c r="C107" s="42">
        <v>107</v>
      </c>
      <c r="D107" s="42">
        <v>1033</v>
      </c>
      <c r="E107" s="236"/>
      <c r="F107" s="42" t="s">
        <v>272</v>
      </c>
      <c r="G107" s="188" t="s">
        <v>753</v>
      </c>
      <c r="H107" s="37"/>
      <c r="I107" s="37">
        <v>213986</v>
      </c>
      <c r="J107" s="43">
        <f t="shared" si="8"/>
        <v>40263346</v>
      </c>
    </row>
    <row r="108" spans="1:10">
      <c r="A108" s="35"/>
      <c r="B108" s="170">
        <v>46295</v>
      </c>
      <c r="C108" s="42">
        <v>108</v>
      </c>
      <c r="D108" s="42">
        <v>1050</v>
      </c>
      <c r="E108" s="236"/>
      <c r="F108" s="42" t="s">
        <v>272</v>
      </c>
      <c r="G108" s="188" t="s">
        <v>780</v>
      </c>
      <c r="H108" s="37"/>
      <c r="I108" s="37">
        <v>119000</v>
      </c>
      <c r="J108" s="43">
        <f t="shared" si="8"/>
        <v>40144346</v>
      </c>
    </row>
    <row r="109" spans="1:10">
      <c r="A109" s="35"/>
      <c r="B109" s="170">
        <v>46295</v>
      </c>
      <c r="C109" s="42">
        <v>109</v>
      </c>
      <c r="D109" s="42">
        <v>1049</v>
      </c>
      <c r="E109" s="236"/>
      <c r="F109" s="42" t="s">
        <v>519</v>
      </c>
      <c r="G109" s="188" t="s">
        <v>781</v>
      </c>
      <c r="H109" s="37"/>
      <c r="I109" s="37">
        <v>196350</v>
      </c>
      <c r="J109" s="43">
        <f t="shared" si="8"/>
        <v>39947996</v>
      </c>
    </row>
    <row r="110" spans="1:10">
      <c r="A110" s="35"/>
      <c r="B110" s="170"/>
      <c r="C110" s="42"/>
      <c r="D110" s="42"/>
      <c r="E110" s="40"/>
      <c r="F110" s="42"/>
      <c r="G110" s="188"/>
      <c r="H110" s="37"/>
      <c r="I110" s="37"/>
      <c r="J110" s="43">
        <f t="shared" si="8"/>
        <v>39947996</v>
      </c>
    </row>
    <row r="111" spans="1:10">
      <c r="A111" s="35"/>
      <c r="B111" s="170"/>
      <c r="C111" s="42"/>
      <c r="D111" s="42"/>
      <c r="E111" s="40"/>
      <c r="F111" s="42"/>
      <c r="G111" s="188"/>
      <c r="H111" s="37"/>
      <c r="I111" s="37"/>
      <c r="J111" s="43">
        <f t="shared" si="8"/>
        <v>39947996</v>
      </c>
    </row>
    <row r="112" spans="1:10">
      <c r="A112" s="35"/>
      <c r="B112" s="320" t="s">
        <v>132</v>
      </c>
      <c r="C112" s="321"/>
      <c r="D112" s="321"/>
      <c r="E112" s="321"/>
      <c r="F112" s="321"/>
      <c r="G112" s="321"/>
      <c r="H112" s="321"/>
      <c r="I112" s="321"/>
      <c r="J112" s="322"/>
    </row>
    <row r="113" spans="1:16">
      <c r="A113" s="35"/>
      <c r="B113" s="41"/>
      <c r="C113" s="42"/>
      <c r="D113" s="42"/>
      <c r="E113" s="40"/>
      <c r="F113" s="42" t="s">
        <v>171</v>
      </c>
      <c r="G113" s="42" t="s">
        <v>171</v>
      </c>
      <c r="H113" s="37">
        <f>+SUBVENCION!U7+SUBVENCION!V7</f>
        <v>0</v>
      </c>
      <c r="I113" s="37"/>
      <c r="J113" s="43">
        <f>+J111+H113-I113</f>
        <v>39947996</v>
      </c>
      <c r="K113" s="44" t="s">
        <v>232</v>
      </c>
      <c r="L113" s="97" t="s">
        <v>5</v>
      </c>
      <c r="M113" s="36" t="s">
        <v>214</v>
      </c>
      <c r="N113" s="97" t="s">
        <v>212</v>
      </c>
      <c r="O113" s="97" t="s">
        <v>213</v>
      </c>
      <c r="P113" s="97" t="s">
        <v>7</v>
      </c>
    </row>
    <row r="114" spans="1:16">
      <c r="A114" s="35"/>
      <c r="B114" s="41"/>
      <c r="C114" s="42"/>
      <c r="D114" s="42"/>
      <c r="E114" s="40"/>
      <c r="F114" s="42" t="s">
        <v>199</v>
      </c>
      <c r="G114" s="42" t="s">
        <v>199</v>
      </c>
      <c r="H114" s="37"/>
      <c r="I114" s="37"/>
      <c r="J114" s="43">
        <f>+J113+H114-I114</f>
        <v>39947996</v>
      </c>
      <c r="L114" s="115">
        <f>H113</f>
        <v>0</v>
      </c>
      <c r="M114" s="101">
        <f>L114*10%</f>
        <v>0</v>
      </c>
      <c r="N114" s="115">
        <f>I114</f>
        <v>0</v>
      </c>
      <c r="O114" s="115">
        <f>I115+I116</f>
        <v>0</v>
      </c>
      <c r="P114" s="115">
        <f>L114-M114-N114-O114</f>
        <v>0</v>
      </c>
    </row>
    <row r="115" spans="1:16">
      <c r="A115" s="35"/>
      <c r="B115" s="41"/>
      <c r="C115" s="42"/>
      <c r="D115" s="42"/>
      <c r="E115" s="40"/>
      <c r="F115" s="42"/>
      <c r="G115" s="45"/>
      <c r="H115" s="37"/>
      <c r="I115" s="63"/>
      <c r="J115" s="43">
        <f t="shared" ref="J115:J140" si="9">+J114+H115-I115</f>
        <v>39947996</v>
      </c>
    </row>
    <row r="116" spans="1:16">
      <c r="A116" s="35"/>
      <c r="B116" s="41"/>
      <c r="C116" s="42"/>
      <c r="D116" s="42"/>
      <c r="E116" s="40"/>
      <c r="F116" s="42"/>
      <c r="G116" s="45"/>
      <c r="H116" s="37"/>
      <c r="I116" s="37"/>
      <c r="J116" s="43">
        <f t="shared" si="9"/>
        <v>39947996</v>
      </c>
    </row>
    <row r="117" spans="1:16">
      <c r="A117" s="35"/>
      <c r="B117" s="41"/>
      <c r="C117" s="42"/>
      <c r="D117" s="42"/>
      <c r="E117" s="40"/>
      <c r="F117" s="42"/>
      <c r="G117" s="45"/>
      <c r="H117" s="37"/>
      <c r="I117" s="37"/>
      <c r="J117" s="43">
        <f>+J116+H117-I117</f>
        <v>39947996</v>
      </c>
    </row>
    <row r="118" spans="1:16">
      <c r="A118" s="35"/>
      <c r="B118" s="41"/>
      <c r="C118" s="42"/>
      <c r="D118" s="42"/>
      <c r="E118" s="40"/>
      <c r="F118" s="42"/>
      <c r="G118" s="42"/>
      <c r="H118" s="37"/>
      <c r="I118" s="37"/>
      <c r="J118" s="43">
        <f>+J117+H118-I118</f>
        <v>39947996</v>
      </c>
    </row>
    <row r="119" spans="1:16">
      <c r="A119" s="35"/>
      <c r="B119" s="41"/>
      <c r="C119" s="42"/>
      <c r="D119" s="42"/>
      <c r="E119" s="40"/>
      <c r="F119" s="42"/>
      <c r="G119" s="45"/>
      <c r="H119" s="37"/>
      <c r="I119" s="37"/>
      <c r="J119" s="43">
        <f t="shared" si="9"/>
        <v>39947996</v>
      </c>
    </row>
    <row r="120" spans="1:16" hidden="1">
      <c r="A120" s="35"/>
      <c r="B120" s="41"/>
      <c r="C120" s="42"/>
      <c r="D120" s="42"/>
      <c r="E120" s="40"/>
      <c r="F120" s="42"/>
      <c r="G120" s="45"/>
      <c r="H120" s="37"/>
      <c r="I120" s="37"/>
      <c r="J120" s="43">
        <f t="shared" si="9"/>
        <v>39947996</v>
      </c>
    </row>
    <row r="121" spans="1:16" hidden="1">
      <c r="A121" s="35"/>
      <c r="B121" s="41"/>
      <c r="C121" s="42"/>
      <c r="D121" s="42"/>
      <c r="E121" s="40"/>
      <c r="F121" s="42"/>
      <c r="G121" s="45"/>
      <c r="H121" s="37"/>
      <c r="I121" s="37"/>
      <c r="J121" s="43">
        <f t="shared" si="9"/>
        <v>39947996</v>
      </c>
    </row>
    <row r="122" spans="1:16" hidden="1">
      <c r="A122" s="35"/>
      <c r="B122" s="41"/>
      <c r="C122" s="42"/>
      <c r="D122" s="42"/>
      <c r="E122" s="40"/>
      <c r="F122" s="42"/>
      <c r="G122" s="45"/>
      <c r="H122" s="37"/>
      <c r="I122" s="37"/>
      <c r="J122" s="43">
        <f t="shared" si="9"/>
        <v>39947996</v>
      </c>
    </row>
    <row r="123" spans="1:16" hidden="1">
      <c r="A123" s="35"/>
      <c r="B123" s="41"/>
      <c r="C123" s="42"/>
      <c r="D123" s="42"/>
      <c r="E123" s="40"/>
      <c r="F123" s="42"/>
      <c r="G123" s="45"/>
      <c r="H123" s="37"/>
      <c r="I123" s="37"/>
      <c r="J123" s="43">
        <f t="shared" si="9"/>
        <v>39947996</v>
      </c>
    </row>
    <row r="124" spans="1:16" hidden="1">
      <c r="A124" s="35"/>
      <c r="B124" s="41"/>
      <c r="C124" s="42"/>
      <c r="D124" s="42"/>
      <c r="E124" s="40"/>
      <c r="F124" s="42"/>
      <c r="G124" s="45"/>
      <c r="H124" s="37"/>
      <c r="I124" s="37"/>
      <c r="J124" s="43">
        <f t="shared" si="9"/>
        <v>39947996</v>
      </c>
    </row>
    <row r="125" spans="1:16" hidden="1">
      <c r="A125" s="35"/>
      <c r="B125" s="41"/>
      <c r="C125" s="42"/>
      <c r="D125" s="42"/>
      <c r="E125" s="40"/>
      <c r="F125" s="42"/>
      <c r="G125" s="45"/>
      <c r="H125" s="37"/>
      <c r="I125" s="37"/>
      <c r="J125" s="43">
        <f t="shared" si="9"/>
        <v>39947996</v>
      </c>
    </row>
    <row r="126" spans="1:16" hidden="1">
      <c r="A126" s="35"/>
      <c r="B126" s="41"/>
      <c r="C126" s="42"/>
      <c r="D126" s="42"/>
      <c r="E126" s="40"/>
      <c r="F126" s="42"/>
      <c r="G126" s="45"/>
      <c r="H126" s="37"/>
      <c r="I126" s="37"/>
      <c r="J126" s="43">
        <f t="shared" si="9"/>
        <v>39947996</v>
      </c>
    </row>
    <row r="127" spans="1:16" hidden="1">
      <c r="A127" s="35"/>
      <c r="B127" s="41"/>
      <c r="C127" s="42"/>
      <c r="D127" s="42"/>
      <c r="E127" s="40"/>
      <c r="F127" s="42"/>
      <c r="G127" s="45"/>
      <c r="H127" s="37"/>
      <c r="I127" s="37"/>
      <c r="J127" s="43">
        <f t="shared" si="9"/>
        <v>39947996</v>
      </c>
    </row>
    <row r="128" spans="1:16" hidden="1">
      <c r="A128" s="35"/>
      <c r="B128" s="41"/>
      <c r="C128" s="42"/>
      <c r="D128" s="42"/>
      <c r="E128" s="40"/>
      <c r="F128" s="42"/>
      <c r="G128" s="45"/>
      <c r="H128" s="37"/>
      <c r="I128" s="37"/>
      <c r="J128" s="43">
        <f t="shared" si="9"/>
        <v>39947996</v>
      </c>
    </row>
    <row r="129" spans="1:16" hidden="1">
      <c r="A129" s="35"/>
      <c r="B129" s="41"/>
      <c r="C129" s="42"/>
      <c r="D129" s="42"/>
      <c r="E129" s="40"/>
      <c r="F129" s="42"/>
      <c r="G129" s="45"/>
      <c r="H129" s="37"/>
      <c r="I129" s="37"/>
      <c r="J129" s="43">
        <f t="shared" si="9"/>
        <v>39947996</v>
      </c>
    </row>
    <row r="130" spans="1:16" hidden="1">
      <c r="A130" s="35"/>
      <c r="B130" s="41"/>
      <c r="C130" s="42"/>
      <c r="D130" s="42"/>
      <c r="E130" s="40"/>
      <c r="F130" s="42"/>
      <c r="G130" s="45"/>
      <c r="H130" s="37"/>
      <c r="I130" s="37"/>
      <c r="J130" s="43">
        <f t="shared" si="9"/>
        <v>39947996</v>
      </c>
    </row>
    <row r="131" spans="1:16" hidden="1">
      <c r="A131" s="35"/>
      <c r="B131" s="41"/>
      <c r="C131" s="42"/>
      <c r="D131" s="42"/>
      <c r="E131" s="40"/>
      <c r="F131" s="42"/>
      <c r="G131" s="45"/>
      <c r="H131" s="37"/>
      <c r="I131" s="37"/>
      <c r="J131" s="43">
        <f t="shared" si="9"/>
        <v>39947996</v>
      </c>
    </row>
    <row r="132" spans="1:16" hidden="1">
      <c r="A132" s="35"/>
      <c r="B132" s="41"/>
      <c r="C132" s="42"/>
      <c r="D132" s="42"/>
      <c r="E132" s="40"/>
      <c r="F132" s="42"/>
      <c r="G132" s="45"/>
      <c r="H132" s="37"/>
      <c r="I132" s="37"/>
      <c r="J132" s="43">
        <f t="shared" si="9"/>
        <v>39947996</v>
      </c>
    </row>
    <row r="133" spans="1:16" hidden="1">
      <c r="A133" s="35"/>
      <c r="B133" s="41"/>
      <c r="C133" s="42"/>
      <c r="D133" s="42"/>
      <c r="E133" s="40"/>
      <c r="F133" s="42"/>
      <c r="G133" s="45"/>
      <c r="H133" s="37"/>
      <c r="I133" s="37"/>
      <c r="J133" s="43">
        <f t="shared" si="9"/>
        <v>39947996</v>
      </c>
    </row>
    <row r="134" spans="1:16" hidden="1">
      <c r="A134" s="35"/>
      <c r="B134" s="41"/>
      <c r="C134" s="42"/>
      <c r="D134" s="42"/>
      <c r="E134" s="40"/>
      <c r="F134" s="42"/>
      <c r="G134" s="45"/>
      <c r="H134" s="37"/>
      <c r="I134" s="37"/>
      <c r="J134" s="43">
        <f t="shared" si="9"/>
        <v>39947996</v>
      </c>
    </row>
    <row r="135" spans="1:16" hidden="1">
      <c r="A135" s="35"/>
      <c r="B135" s="41"/>
      <c r="C135" s="42"/>
      <c r="D135" s="42"/>
      <c r="E135" s="40"/>
      <c r="F135" s="42"/>
      <c r="G135" s="45"/>
      <c r="H135" s="37"/>
      <c r="I135" s="37"/>
      <c r="J135" s="43">
        <f t="shared" si="9"/>
        <v>39947996</v>
      </c>
    </row>
    <row r="136" spans="1:16" hidden="1">
      <c r="A136" s="35"/>
      <c r="B136" s="41"/>
      <c r="C136" s="42"/>
      <c r="D136" s="42"/>
      <c r="E136" s="40"/>
      <c r="F136" s="42"/>
      <c r="G136" s="42"/>
      <c r="H136" s="37"/>
      <c r="I136" s="37"/>
      <c r="J136" s="43">
        <f t="shared" si="9"/>
        <v>39947996</v>
      </c>
    </row>
    <row r="137" spans="1:16" hidden="1">
      <c r="A137" s="35"/>
      <c r="B137" s="41"/>
      <c r="C137" s="42"/>
      <c r="D137" s="42"/>
      <c r="E137" s="40"/>
      <c r="F137" s="42"/>
      <c r="G137" s="42"/>
      <c r="H137" s="37"/>
      <c r="I137" s="37"/>
      <c r="J137" s="43">
        <f t="shared" si="9"/>
        <v>39947996</v>
      </c>
    </row>
    <row r="138" spans="1:16" hidden="1">
      <c r="A138" s="35"/>
      <c r="B138" s="41"/>
      <c r="C138" s="42"/>
      <c r="D138" s="42"/>
      <c r="E138" s="40"/>
      <c r="F138" s="45"/>
      <c r="G138" s="42"/>
      <c r="H138" s="37"/>
      <c r="I138" s="37"/>
      <c r="J138" s="43">
        <f t="shared" si="9"/>
        <v>39947996</v>
      </c>
    </row>
    <row r="139" spans="1:16" hidden="1">
      <c r="A139" s="35"/>
      <c r="B139" s="41"/>
      <c r="C139" s="42"/>
      <c r="D139" s="42"/>
      <c r="E139" s="40"/>
      <c r="F139" s="45"/>
      <c r="G139" s="42"/>
      <c r="H139" s="37"/>
      <c r="I139" s="37"/>
      <c r="J139" s="43">
        <f t="shared" si="9"/>
        <v>39947996</v>
      </c>
    </row>
    <row r="140" spans="1:16">
      <c r="A140" s="35"/>
      <c r="B140" s="41"/>
      <c r="C140" s="42"/>
      <c r="D140" s="42"/>
      <c r="E140" s="40"/>
      <c r="F140" s="45"/>
      <c r="G140" s="42"/>
      <c r="H140" s="37"/>
      <c r="I140" s="37"/>
      <c r="J140" s="43">
        <f t="shared" si="9"/>
        <v>39947996</v>
      </c>
    </row>
    <row r="141" spans="1:16">
      <c r="A141" s="35"/>
      <c r="B141" s="320" t="s">
        <v>133</v>
      </c>
      <c r="C141" s="321"/>
      <c r="D141" s="321"/>
      <c r="E141" s="321"/>
      <c r="F141" s="321"/>
      <c r="G141" s="321"/>
      <c r="H141" s="321"/>
      <c r="I141" s="321"/>
      <c r="J141" s="322"/>
    </row>
    <row r="142" spans="1:16">
      <c r="A142" s="35"/>
      <c r="B142" s="41"/>
      <c r="C142" s="42"/>
      <c r="D142" s="42"/>
      <c r="E142" s="40"/>
      <c r="F142" s="42" t="s">
        <v>171</v>
      </c>
      <c r="G142" s="42" t="s">
        <v>171</v>
      </c>
      <c r="H142" s="37">
        <f>+SUBVENCION!W7+SUBVENCION!X7</f>
        <v>0</v>
      </c>
      <c r="I142" s="37"/>
      <c r="J142" s="37">
        <f>+J140+H142-I142</f>
        <v>39947996</v>
      </c>
      <c r="L142" s="97" t="s">
        <v>5</v>
      </c>
      <c r="M142" s="36" t="s">
        <v>214</v>
      </c>
      <c r="N142" s="97" t="s">
        <v>212</v>
      </c>
      <c r="O142" s="97" t="s">
        <v>213</v>
      </c>
      <c r="P142" s="97" t="s">
        <v>7</v>
      </c>
    </row>
    <row r="143" spans="1:16">
      <c r="A143" s="35"/>
      <c r="B143" s="41"/>
      <c r="C143" s="42"/>
      <c r="D143" s="42"/>
      <c r="E143" s="40"/>
      <c r="F143" s="42" t="s">
        <v>199</v>
      </c>
      <c r="G143" s="42" t="s">
        <v>199</v>
      </c>
      <c r="H143" s="37"/>
      <c r="I143" s="37"/>
      <c r="J143" s="37">
        <f>+J142+H143-I143</f>
        <v>39947996</v>
      </c>
      <c r="L143" s="115">
        <f>H142</f>
        <v>0</v>
      </c>
      <c r="M143" s="101">
        <f>L143*10%</f>
        <v>0</v>
      </c>
      <c r="N143" s="115">
        <f>I143</f>
        <v>0</v>
      </c>
      <c r="O143" s="115">
        <f>I144</f>
        <v>0</v>
      </c>
      <c r="P143" s="115">
        <f>L143-M143-N143-O143</f>
        <v>0</v>
      </c>
    </row>
    <row r="144" spans="1:16">
      <c r="A144" s="35"/>
      <c r="B144" s="41"/>
      <c r="C144" s="42"/>
      <c r="D144" s="42"/>
      <c r="E144" s="40"/>
      <c r="F144" s="42"/>
      <c r="G144" s="42"/>
      <c r="H144" s="37"/>
      <c r="I144" s="63"/>
      <c r="J144" s="37">
        <f t="shared" ref="J144:J172" si="10">+J143+H144-I144</f>
        <v>39947996</v>
      </c>
    </row>
    <row r="145" spans="1:10">
      <c r="A145" s="35"/>
      <c r="B145" s="41"/>
      <c r="C145" s="42"/>
      <c r="D145" s="42"/>
      <c r="E145" s="40"/>
      <c r="F145" s="42"/>
      <c r="G145" s="45"/>
      <c r="H145" s="37"/>
      <c r="I145" s="37"/>
      <c r="J145" s="37">
        <f t="shared" si="10"/>
        <v>39947996</v>
      </c>
    </row>
    <row r="146" spans="1:10" hidden="1">
      <c r="A146" s="35"/>
      <c r="B146" s="41"/>
      <c r="C146" s="42"/>
      <c r="D146" s="42"/>
      <c r="E146" s="40"/>
      <c r="F146" s="42"/>
      <c r="G146" s="45"/>
      <c r="H146" s="37"/>
      <c r="I146" s="37"/>
      <c r="J146" s="37">
        <f t="shared" si="10"/>
        <v>39947996</v>
      </c>
    </row>
    <row r="147" spans="1:10" hidden="1">
      <c r="A147" s="35"/>
      <c r="B147" s="41"/>
      <c r="C147" s="42"/>
      <c r="D147" s="42"/>
      <c r="E147" s="40"/>
      <c r="F147" s="42"/>
      <c r="G147" s="45"/>
      <c r="H147" s="37"/>
      <c r="I147" s="37"/>
      <c r="J147" s="37">
        <f t="shared" si="10"/>
        <v>39947996</v>
      </c>
    </row>
    <row r="148" spans="1:10" hidden="1">
      <c r="A148" s="35"/>
      <c r="B148" s="41"/>
      <c r="C148" s="42"/>
      <c r="D148" s="42"/>
      <c r="E148" s="40"/>
      <c r="F148" s="42"/>
      <c r="G148" s="45"/>
      <c r="H148" s="37"/>
      <c r="I148" s="37"/>
      <c r="J148" s="37">
        <f t="shared" si="10"/>
        <v>39947996</v>
      </c>
    </row>
    <row r="149" spans="1:10" hidden="1">
      <c r="A149" s="35"/>
      <c r="B149" s="41"/>
      <c r="C149" s="42"/>
      <c r="D149" s="42"/>
      <c r="E149" s="40"/>
      <c r="F149" s="42"/>
      <c r="G149" s="45"/>
      <c r="H149" s="37"/>
      <c r="I149" s="37"/>
      <c r="J149" s="37">
        <f t="shared" si="10"/>
        <v>39947996</v>
      </c>
    </row>
    <row r="150" spans="1:10" hidden="1">
      <c r="A150" s="35"/>
      <c r="B150" s="41"/>
      <c r="C150" s="42"/>
      <c r="D150" s="42"/>
      <c r="E150" s="40"/>
      <c r="F150" s="42"/>
      <c r="G150" s="45"/>
      <c r="H150" s="37"/>
      <c r="I150" s="37"/>
      <c r="J150" s="37">
        <f t="shared" si="10"/>
        <v>39947996</v>
      </c>
    </row>
    <row r="151" spans="1:10" hidden="1">
      <c r="A151" s="35"/>
      <c r="B151" s="41"/>
      <c r="C151" s="42"/>
      <c r="D151" s="42"/>
      <c r="E151" s="40"/>
      <c r="F151" s="42"/>
      <c r="G151" s="45"/>
      <c r="H151" s="37"/>
      <c r="I151" s="37"/>
      <c r="J151" s="37">
        <f t="shared" si="10"/>
        <v>39947996</v>
      </c>
    </row>
    <row r="152" spans="1:10" hidden="1">
      <c r="A152" s="35"/>
      <c r="B152" s="41"/>
      <c r="C152" s="42"/>
      <c r="D152" s="42"/>
      <c r="E152" s="40"/>
      <c r="F152" s="42"/>
      <c r="G152" s="45"/>
      <c r="H152" s="37"/>
      <c r="I152" s="37"/>
      <c r="J152" s="37">
        <f t="shared" si="10"/>
        <v>39947996</v>
      </c>
    </row>
    <row r="153" spans="1:10" hidden="1">
      <c r="A153" s="35"/>
      <c r="B153" s="41"/>
      <c r="C153" s="42"/>
      <c r="D153" s="42"/>
      <c r="E153" s="40"/>
      <c r="F153" s="42"/>
      <c r="G153" s="45"/>
      <c r="H153" s="37"/>
      <c r="I153" s="37"/>
      <c r="J153" s="37">
        <f t="shared" si="10"/>
        <v>39947996</v>
      </c>
    </row>
    <row r="154" spans="1:10" hidden="1">
      <c r="A154" s="35"/>
      <c r="B154" s="41"/>
      <c r="C154" s="42"/>
      <c r="D154" s="42"/>
      <c r="E154" s="40"/>
      <c r="F154" s="42"/>
      <c r="G154" s="45"/>
      <c r="H154" s="37"/>
      <c r="I154" s="37"/>
      <c r="J154" s="37">
        <f t="shared" si="10"/>
        <v>39947996</v>
      </c>
    </row>
    <row r="155" spans="1:10" hidden="1">
      <c r="A155" s="35"/>
      <c r="B155" s="41"/>
      <c r="C155" s="42"/>
      <c r="D155" s="42"/>
      <c r="E155" s="40"/>
      <c r="F155" s="42"/>
      <c r="G155" s="45"/>
      <c r="H155" s="37"/>
      <c r="I155" s="37"/>
      <c r="J155" s="37">
        <f t="shared" si="10"/>
        <v>39947996</v>
      </c>
    </row>
    <row r="156" spans="1:10" hidden="1">
      <c r="A156" s="35"/>
      <c r="B156" s="41"/>
      <c r="C156" s="42"/>
      <c r="D156" s="42"/>
      <c r="E156" s="40"/>
      <c r="F156" s="42"/>
      <c r="G156" s="45"/>
      <c r="H156" s="37"/>
      <c r="I156" s="37"/>
      <c r="J156" s="37">
        <f t="shared" si="10"/>
        <v>39947996</v>
      </c>
    </row>
    <row r="157" spans="1:10" hidden="1">
      <c r="A157" s="35"/>
      <c r="B157" s="41"/>
      <c r="C157" s="42"/>
      <c r="D157" s="42"/>
      <c r="E157" s="40"/>
      <c r="F157" s="42"/>
      <c r="G157" s="45"/>
      <c r="H157" s="37"/>
      <c r="I157" s="37"/>
      <c r="J157" s="37">
        <f t="shared" si="10"/>
        <v>39947996</v>
      </c>
    </row>
    <row r="158" spans="1:10" hidden="1">
      <c r="A158" s="35"/>
      <c r="B158" s="41"/>
      <c r="C158" s="42"/>
      <c r="D158" s="42"/>
      <c r="E158" s="40"/>
      <c r="F158" s="42"/>
      <c r="G158" s="45"/>
      <c r="H158" s="37"/>
      <c r="I158" s="37"/>
      <c r="J158" s="37">
        <f t="shared" si="10"/>
        <v>39947996</v>
      </c>
    </row>
    <row r="159" spans="1:10" hidden="1">
      <c r="A159" s="35"/>
      <c r="B159" s="41"/>
      <c r="C159" s="42"/>
      <c r="D159" s="42"/>
      <c r="E159" s="40"/>
      <c r="F159" s="42"/>
      <c r="G159" s="45"/>
      <c r="H159" s="37"/>
      <c r="I159" s="37"/>
      <c r="J159" s="37">
        <f t="shared" si="10"/>
        <v>39947996</v>
      </c>
    </row>
    <row r="160" spans="1:10" hidden="1">
      <c r="A160" s="35"/>
      <c r="B160" s="41"/>
      <c r="C160" s="42"/>
      <c r="D160" s="42"/>
      <c r="E160" s="40"/>
      <c r="F160" s="42"/>
      <c r="G160" s="45"/>
      <c r="H160" s="37"/>
      <c r="I160" s="37"/>
      <c r="J160" s="37">
        <f t="shared" si="10"/>
        <v>39947996</v>
      </c>
    </row>
    <row r="161" spans="1:16" hidden="1">
      <c r="A161" s="35"/>
      <c r="B161" s="41"/>
      <c r="C161" s="42"/>
      <c r="D161" s="42"/>
      <c r="E161" s="40"/>
      <c r="F161" s="42"/>
      <c r="G161" s="45"/>
      <c r="H161" s="37"/>
      <c r="I161" s="37"/>
      <c r="J161" s="37">
        <f t="shared" si="10"/>
        <v>39947996</v>
      </c>
    </row>
    <row r="162" spans="1:16" hidden="1">
      <c r="A162" s="35"/>
      <c r="B162" s="41"/>
      <c r="C162" s="42"/>
      <c r="D162" s="42"/>
      <c r="E162" s="40"/>
      <c r="F162" s="42"/>
      <c r="G162" s="45"/>
      <c r="H162" s="37"/>
      <c r="I162" s="37"/>
      <c r="J162" s="37">
        <f t="shared" si="10"/>
        <v>39947996</v>
      </c>
    </row>
    <row r="163" spans="1:16" hidden="1">
      <c r="A163" s="35"/>
      <c r="B163" s="41"/>
      <c r="C163" s="42"/>
      <c r="D163" s="42"/>
      <c r="E163" s="40"/>
      <c r="F163" s="42"/>
      <c r="G163" s="45"/>
      <c r="H163" s="37"/>
      <c r="I163" s="37"/>
      <c r="J163" s="37">
        <f t="shared" si="10"/>
        <v>39947996</v>
      </c>
    </row>
    <row r="164" spans="1:16" hidden="1">
      <c r="A164" s="35"/>
      <c r="B164" s="41"/>
      <c r="C164" s="42"/>
      <c r="D164" s="42"/>
      <c r="E164" s="40"/>
      <c r="F164" s="42"/>
      <c r="G164" s="45"/>
      <c r="H164" s="37"/>
      <c r="I164" s="37"/>
      <c r="J164" s="37">
        <f t="shared" si="10"/>
        <v>39947996</v>
      </c>
    </row>
    <row r="165" spans="1:16" hidden="1">
      <c r="A165" s="35"/>
      <c r="B165" s="41"/>
      <c r="C165" s="42"/>
      <c r="D165" s="42"/>
      <c r="E165" s="40"/>
      <c r="F165" s="42"/>
      <c r="G165" s="45"/>
      <c r="H165" s="37"/>
      <c r="I165" s="37"/>
      <c r="J165" s="37">
        <f t="shared" si="10"/>
        <v>39947996</v>
      </c>
    </row>
    <row r="166" spans="1:16" hidden="1">
      <c r="A166" s="35"/>
      <c r="B166" s="41"/>
      <c r="C166" s="42"/>
      <c r="D166" s="42"/>
      <c r="E166" s="40"/>
      <c r="F166" s="42"/>
      <c r="G166" s="45"/>
      <c r="H166" s="37"/>
      <c r="I166" s="37"/>
      <c r="J166" s="37">
        <f t="shared" si="10"/>
        <v>39947996</v>
      </c>
    </row>
    <row r="167" spans="1:16" hidden="1">
      <c r="A167" s="35"/>
      <c r="B167" s="41"/>
      <c r="C167" s="42"/>
      <c r="D167" s="42"/>
      <c r="E167" s="40"/>
      <c r="F167" s="42"/>
      <c r="G167" s="45"/>
      <c r="H167" s="37"/>
      <c r="I167" s="37"/>
      <c r="J167" s="37">
        <f t="shared" si="10"/>
        <v>39947996</v>
      </c>
    </row>
    <row r="168" spans="1:16">
      <c r="A168" s="35"/>
      <c r="B168" s="41"/>
      <c r="C168" s="42"/>
      <c r="D168" s="42"/>
      <c r="E168" s="40"/>
      <c r="F168" s="42"/>
      <c r="G168" s="45"/>
      <c r="H168" s="37"/>
      <c r="I168" s="37"/>
      <c r="J168" s="37">
        <f t="shared" si="10"/>
        <v>39947996</v>
      </c>
    </row>
    <row r="169" spans="1:16">
      <c r="A169" s="35"/>
      <c r="B169" s="41"/>
      <c r="C169" s="42"/>
      <c r="D169" s="42"/>
      <c r="E169" s="40"/>
      <c r="F169" s="42"/>
      <c r="G169" s="45"/>
      <c r="H169" s="37"/>
      <c r="I169" s="37"/>
      <c r="J169" s="37">
        <f t="shared" si="10"/>
        <v>39947996</v>
      </c>
    </row>
    <row r="170" spans="1:16">
      <c r="A170" s="35"/>
      <c r="B170" s="41"/>
      <c r="C170" s="42"/>
      <c r="D170" s="42"/>
      <c r="E170" s="40"/>
      <c r="F170" s="42"/>
      <c r="G170" s="45"/>
      <c r="H170" s="37"/>
      <c r="I170" s="37"/>
      <c r="J170" s="37">
        <f t="shared" si="10"/>
        <v>39947996</v>
      </c>
    </row>
    <row r="171" spans="1:16">
      <c r="A171" s="35"/>
      <c r="B171" s="41"/>
      <c r="C171" s="42"/>
      <c r="D171" s="42"/>
      <c r="E171" s="40"/>
      <c r="F171" s="42"/>
      <c r="G171" s="42"/>
      <c r="H171" s="37"/>
      <c r="I171" s="37"/>
      <c r="J171" s="37">
        <f t="shared" si="10"/>
        <v>39947996</v>
      </c>
    </row>
    <row r="172" spans="1:16">
      <c r="A172" s="35"/>
      <c r="B172" s="41"/>
      <c r="C172" s="42"/>
      <c r="D172" s="42"/>
      <c r="E172" s="40"/>
      <c r="F172" s="42"/>
      <c r="G172" s="42"/>
      <c r="H172" s="37"/>
      <c r="I172" s="37"/>
      <c r="J172" s="37">
        <f t="shared" si="10"/>
        <v>39947996</v>
      </c>
    </row>
    <row r="173" spans="1:16">
      <c r="A173" s="35"/>
      <c r="B173" s="320" t="s">
        <v>134</v>
      </c>
      <c r="C173" s="321"/>
      <c r="D173" s="321"/>
      <c r="E173" s="321"/>
      <c r="F173" s="321"/>
      <c r="G173" s="321"/>
      <c r="H173" s="321"/>
      <c r="I173" s="321"/>
      <c r="J173" s="322"/>
    </row>
    <row r="174" spans="1:16">
      <c r="A174" s="35"/>
      <c r="B174" s="41"/>
      <c r="C174" s="42"/>
      <c r="D174" s="42"/>
      <c r="E174" s="40"/>
      <c r="F174" s="42" t="s">
        <v>171</v>
      </c>
      <c r="G174" s="42" t="s">
        <v>171</v>
      </c>
      <c r="H174" s="37">
        <f>+SUBVENCION!Y7+SUBVENCION!Z7</f>
        <v>0</v>
      </c>
      <c r="I174" s="37"/>
      <c r="J174" s="43">
        <f>+J172+H174-I174</f>
        <v>39947996</v>
      </c>
      <c r="L174" s="97" t="s">
        <v>5</v>
      </c>
      <c r="M174" s="36" t="s">
        <v>214</v>
      </c>
      <c r="N174" s="97" t="s">
        <v>212</v>
      </c>
      <c r="O174" s="97" t="s">
        <v>213</v>
      </c>
      <c r="P174" s="97" t="s">
        <v>7</v>
      </c>
    </row>
    <row r="175" spans="1:16">
      <c r="A175" s="35"/>
      <c r="B175" s="41"/>
      <c r="C175" s="42"/>
      <c r="D175" s="42"/>
      <c r="E175" s="40"/>
      <c r="F175" s="42" t="s">
        <v>199</v>
      </c>
      <c r="G175" s="42" t="s">
        <v>199</v>
      </c>
      <c r="H175" s="37"/>
      <c r="I175" s="37"/>
      <c r="J175" s="43">
        <f>J174+H175-I175</f>
        <v>39947996</v>
      </c>
      <c r="L175" s="115">
        <f>H174</f>
        <v>0</v>
      </c>
      <c r="M175" s="101">
        <f>L175*10%</f>
        <v>0</v>
      </c>
      <c r="N175" s="115">
        <f>I175</f>
        <v>0</v>
      </c>
      <c r="O175" s="115">
        <f>I176</f>
        <v>0</v>
      </c>
      <c r="P175" s="115">
        <f>L175-M175-N175-O175</f>
        <v>0</v>
      </c>
    </row>
    <row r="176" spans="1:16">
      <c r="A176" s="35"/>
      <c r="B176" s="41"/>
      <c r="C176" s="42"/>
      <c r="D176" s="42"/>
      <c r="E176" s="40"/>
      <c r="F176" s="42"/>
      <c r="G176" s="42"/>
      <c r="H176" s="37"/>
      <c r="I176" s="63"/>
      <c r="J176" s="43">
        <f t="shared" ref="J176:J191" si="11">J175+H176-I176</f>
        <v>39947996</v>
      </c>
    </row>
    <row r="177" spans="1:16">
      <c r="A177" s="35"/>
      <c r="B177" s="41"/>
      <c r="C177" s="42"/>
      <c r="D177" s="42"/>
      <c r="E177" s="40"/>
      <c r="F177" s="42"/>
      <c r="G177" s="42"/>
      <c r="H177" s="37"/>
      <c r="I177" s="37"/>
      <c r="J177" s="43">
        <f t="shared" si="11"/>
        <v>39947996</v>
      </c>
    </row>
    <row r="178" spans="1:16">
      <c r="A178" s="35"/>
      <c r="B178" s="41"/>
      <c r="C178" s="42"/>
      <c r="D178" s="42"/>
      <c r="E178" s="40"/>
      <c r="F178" s="42"/>
      <c r="G178" s="42"/>
      <c r="H178" s="37"/>
      <c r="I178" s="37"/>
      <c r="J178" s="43">
        <f t="shared" si="11"/>
        <v>39947996</v>
      </c>
    </row>
    <row r="179" spans="1:16">
      <c r="A179" s="35"/>
      <c r="B179" s="41"/>
      <c r="C179" s="42"/>
      <c r="D179" s="42"/>
      <c r="E179" s="40"/>
      <c r="F179" s="42"/>
      <c r="G179" s="42"/>
      <c r="H179" s="37"/>
      <c r="I179" s="37"/>
      <c r="J179" s="43">
        <f t="shared" si="11"/>
        <v>39947996</v>
      </c>
    </row>
    <row r="180" spans="1:16" hidden="1">
      <c r="A180" s="35"/>
      <c r="B180" s="41"/>
      <c r="C180" s="42"/>
      <c r="D180" s="42"/>
      <c r="E180" s="40"/>
      <c r="F180" s="42"/>
      <c r="G180" s="45"/>
      <c r="H180" s="37"/>
      <c r="I180" s="37"/>
      <c r="J180" s="43">
        <f t="shared" si="11"/>
        <v>39947996</v>
      </c>
    </row>
    <row r="181" spans="1:16" hidden="1">
      <c r="A181" s="35"/>
      <c r="B181" s="41"/>
      <c r="C181" s="42"/>
      <c r="D181" s="42"/>
      <c r="E181" s="40"/>
      <c r="F181" s="45"/>
      <c r="G181" s="42"/>
      <c r="H181" s="46"/>
      <c r="I181" s="37"/>
      <c r="J181" s="43">
        <f t="shared" si="11"/>
        <v>39947996</v>
      </c>
    </row>
    <row r="182" spans="1:16" hidden="1">
      <c r="A182" s="35"/>
      <c r="B182" s="41"/>
      <c r="C182" s="42"/>
      <c r="D182" s="42"/>
      <c r="E182" s="40"/>
      <c r="F182" s="42"/>
      <c r="G182" s="45"/>
      <c r="H182" s="37"/>
      <c r="I182" s="37"/>
      <c r="J182" s="43">
        <f t="shared" si="11"/>
        <v>39947996</v>
      </c>
    </row>
    <row r="183" spans="1:16" hidden="1">
      <c r="A183" s="35"/>
      <c r="B183" s="41"/>
      <c r="C183" s="42"/>
      <c r="D183" s="42"/>
      <c r="E183" s="40"/>
      <c r="F183" s="42"/>
      <c r="G183" s="45"/>
      <c r="H183" s="37"/>
      <c r="I183" s="37"/>
      <c r="J183" s="43">
        <f t="shared" si="11"/>
        <v>39947996</v>
      </c>
    </row>
    <row r="184" spans="1:16" hidden="1">
      <c r="A184" s="35"/>
      <c r="B184" s="41"/>
      <c r="C184" s="42"/>
      <c r="D184" s="42"/>
      <c r="E184" s="40"/>
      <c r="F184" s="42"/>
      <c r="G184" s="45"/>
      <c r="H184" s="37"/>
      <c r="I184" s="37"/>
      <c r="J184" s="43">
        <f t="shared" si="11"/>
        <v>39947996</v>
      </c>
    </row>
    <row r="185" spans="1:16" hidden="1">
      <c r="A185" s="35"/>
      <c r="B185" s="41"/>
      <c r="C185" s="42"/>
      <c r="D185" s="42"/>
      <c r="E185" s="40"/>
      <c r="F185" s="42"/>
      <c r="G185" s="45"/>
      <c r="H185" s="37"/>
      <c r="I185" s="37"/>
      <c r="J185" s="43">
        <f t="shared" si="11"/>
        <v>39947996</v>
      </c>
    </row>
    <row r="186" spans="1:16" hidden="1">
      <c r="A186" s="35"/>
      <c r="B186" s="41"/>
      <c r="C186" s="42"/>
      <c r="D186" s="42"/>
      <c r="E186" s="40"/>
      <c r="F186" s="42"/>
      <c r="G186" s="45"/>
      <c r="H186" s="37"/>
      <c r="I186" s="37"/>
      <c r="J186" s="43">
        <f t="shared" si="11"/>
        <v>39947996</v>
      </c>
    </row>
    <row r="187" spans="1:16" hidden="1">
      <c r="A187" s="35"/>
      <c r="B187" s="41"/>
      <c r="C187" s="42"/>
      <c r="D187" s="42"/>
      <c r="E187" s="40"/>
      <c r="F187" s="42"/>
      <c r="G187" s="42"/>
      <c r="H187" s="37"/>
      <c r="I187" s="37"/>
      <c r="J187" s="43">
        <f t="shared" si="11"/>
        <v>39947996</v>
      </c>
    </row>
    <row r="188" spans="1:16">
      <c r="A188" s="35"/>
      <c r="B188" s="41"/>
      <c r="C188" s="42"/>
      <c r="D188" s="42"/>
      <c r="E188" s="40"/>
      <c r="F188" s="42"/>
      <c r="G188" s="45"/>
      <c r="H188" s="37"/>
      <c r="I188" s="37"/>
      <c r="J188" s="43">
        <f t="shared" si="11"/>
        <v>39947996</v>
      </c>
    </row>
    <row r="189" spans="1:16">
      <c r="A189" s="35"/>
      <c r="B189" s="41"/>
      <c r="C189" s="42"/>
      <c r="D189" s="42"/>
      <c r="E189" s="40"/>
      <c r="F189" s="42"/>
      <c r="G189" s="45"/>
      <c r="H189" s="37"/>
      <c r="I189" s="37"/>
      <c r="J189" s="43">
        <f t="shared" si="11"/>
        <v>39947996</v>
      </c>
    </row>
    <row r="190" spans="1:16">
      <c r="A190" s="35"/>
      <c r="B190" s="41"/>
      <c r="C190" s="42"/>
      <c r="D190" s="42"/>
      <c r="E190" s="40"/>
      <c r="F190" s="42"/>
      <c r="G190" s="45"/>
      <c r="H190" s="37"/>
      <c r="I190" s="37"/>
      <c r="J190" s="43">
        <f t="shared" si="11"/>
        <v>39947996</v>
      </c>
      <c r="L190" s="97" t="s">
        <v>5</v>
      </c>
      <c r="M190" s="36" t="s">
        <v>214</v>
      </c>
      <c r="N190" s="97" t="s">
        <v>212</v>
      </c>
      <c r="O190" s="97" t="s">
        <v>213</v>
      </c>
      <c r="P190" s="97" t="s">
        <v>7</v>
      </c>
    </row>
    <row r="191" spans="1:16">
      <c r="A191" s="35"/>
      <c r="B191" s="41"/>
      <c r="C191" s="42"/>
      <c r="D191" s="42"/>
      <c r="E191" s="40"/>
      <c r="F191" s="42" t="s">
        <v>201</v>
      </c>
      <c r="G191" s="45" t="s">
        <v>135</v>
      </c>
      <c r="H191" s="37">
        <f>(H11+H16+H22+H35+H48+H63+H73+H81+H93+H113+H142+H174)*-10%</f>
        <v>-31752369.900000002</v>
      </c>
      <c r="I191" s="37"/>
      <c r="J191" s="43">
        <f t="shared" si="11"/>
        <v>8195626.0999999978</v>
      </c>
      <c r="L191" s="37">
        <f>+H11+H16+H22+H35+H48+H63+H73+H81+H93+H113+H142+H174</f>
        <v>317523699</v>
      </c>
      <c r="M191" s="191">
        <f>+L191*10%</f>
        <v>31752369.900000002</v>
      </c>
      <c r="N191" s="115">
        <f>+I12+I17+I23+I36+I49+I64+I74+I82+I94+I114+I143+I175</f>
        <v>250817149</v>
      </c>
      <c r="O191" s="51">
        <f>I13+I18+I24+I25+I26+I27+I28+I29+I30+I31+I37+I38+I39+I40+I41+I42+I43+I50+I51+I52+I53+I54+I55+I56+I57+I58+I59+I60+I65+I66+I67+I68+I69+I70+I75+I76+I77+I78+I79+I84+I83+I85+I86+I87+I88+I89+I90+I96+I97+I98+I99+I100+I101+I102+I103+I104+I105+I106+I107+I108+I109</f>
        <v>26758554</v>
      </c>
      <c r="P191" s="153">
        <f>+L191-M191-N191-O191</f>
        <v>8195626.1000000238</v>
      </c>
    </row>
    <row r="192" spans="1:16">
      <c r="A192" s="48"/>
      <c r="B192" s="46" t="s">
        <v>8</v>
      </c>
      <c r="C192" s="97" t="s">
        <v>8</v>
      </c>
      <c r="D192" s="97"/>
      <c r="E192" s="97"/>
      <c r="F192" s="97"/>
      <c r="G192" s="97" t="s">
        <v>9</v>
      </c>
      <c r="H192" s="38">
        <f>SUM(H11:H191)</f>
        <v>285771329.10000002</v>
      </c>
      <c r="I192" s="38">
        <f>SUM(I9:I191)</f>
        <v>277575703</v>
      </c>
      <c r="J192" s="43">
        <f>+H192-I192</f>
        <v>8195626.1000000238</v>
      </c>
    </row>
    <row r="193" spans="7:16">
      <c r="L193" s="180">
        <f t="shared" ref="L193:O193" si="12">L12+L17+L23+L36+L49+L64+L74+L82+L94+L114+L143+L175</f>
        <v>317523699</v>
      </c>
      <c r="M193" s="180">
        <f t="shared" si="12"/>
        <v>31752369.899999999</v>
      </c>
      <c r="N193" s="180">
        <f t="shared" si="12"/>
        <v>250817149</v>
      </c>
      <c r="O193" s="180">
        <f t="shared" si="12"/>
        <v>26758554</v>
      </c>
      <c r="P193" s="180">
        <f>P12+P17+P23+P36+P49+P64+P74+P82+P94+P114+P143+P175</f>
        <v>8195626.1000000052</v>
      </c>
    </row>
    <row r="195" spans="7:16">
      <c r="N195" s="180"/>
      <c r="P195" s="181"/>
    </row>
    <row r="198" spans="7:16">
      <c r="G198" s="44" t="s">
        <v>210</v>
      </c>
      <c r="H198" s="97" t="s">
        <v>5</v>
      </c>
      <c r="I198" s="97" t="s">
        <v>6</v>
      </c>
      <c r="J198" s="97" t="s">
        <v>198</v>
      </c>
    </row>
    <row r="199" spans="7:16">
      <c r="H199" s="144">
        <f>+H192</f>
        <v>285771329.10000002</v>
      </c>
      <c r="I199" s="43">
        <f>+I192</f>
        <v>277575703</v>
      </c>
      <c r="J199" s="143">
        <f>+I199*100/H199</f>
        <v>97.132103445852636</v>
      </c>
    </row>
  </sheetData>
  <autoFilter ref="A8:J191" xr:uid="{00000000-0009-0000-0000-00000D000000}"/>
  <mergeCells count="17">
    <mergeCell ref="B92:J92"/>
    <mergeCell ref="B80:J80"/>
    <mergeCell ref="B72:J72"/>
    <mergeCell ref="B62:J62"/>
    <mergeCell ref="B173:J173"/>
    <mergeCell ref="B141:J141"/>
    <mergeCell ref="B112:J112"/>
    <mergeCell ref="B2:J2"/>
    <mergeCell ref="B3:J3"/>
    <mergeCell ref="B4:J4"/>
    <mergeCell ref="B5:J5"/>
    <mergeCell ref="B6:J6"/>
    <mergeCell ref="B47:J47"/>
    <mergeCell ref="B10:J10"/>
    <mergeCell ref="B34:J34"/>
    <mergeCell ref="B21:J21"/>
    <mergeCell ref="B15:J15"/>
  </mergeCells>
  <conditionalFormatting sqref="H28:I29 J81:J91 I85:I91 J93:J111">
    <cfRule type="cellIs" dxfId="98" priority="25" operator="lessThan">
      <formula>0</formula>
    </cfRule>
  </conditionalFormatting>
  <conditionalFormatting sqref="H55:I55">
    <cfRule type="cellIs" dxfId="97" priority="7" operator="lessThan">
      <formula>0</formula>
    </cfRule>
  </conditionalFormatting>
  <conditionalFormatting sqref="H84:I84 J174:J191">
    <cfRule type="cellIs" dxfId="96" priority="51" operator="lessThan">
      <formula>0</formula>
    </cfRule>
  </conditionalFormatting>
  <conditionalFormatting sqref="H140:I140">
    <cfRule type="cellIs" dxfId="95" priority="34" operator="lessThan">
      <formula>0</formula>
    </cfRule>
  </conditionalFormatting>
  <conditionalFormatting sqref="H146:I172">
    <cfRule type="cellIs" dxfId="94" priority="29" operator="lessThan">
      <formula>0</formula>
    </cfRule>
  </conditionalFormatting>
  <conditionalFormatting sqref="H176:I179">
    <cfRule type="cellIs" dxfId="93" priority="1" operator="lessThan">
      <formula>0</formula>
    </cfRule>
  </conditionalFormatting>
  <conditionalFormatting sqref="I13">
    <cfRule type="cellIs" dxfId="92" priority="42" operator="lessThan">
      <formula>0</formula>
    </cfRule>
  </conditionalFormatting>
  <conditionalFormatting sqref="I50">
    <cfRule type="cellIs" dxfId="91" priority="22" operator="lessThan">
      <formula>0</formula>
    </cfRule>
  </conditionalFormatting>
  <conditionalFormatting sqref="I65">
    <cfRule type="cellIs" dxfId="90" priority="14" operator="lessThan">
      <formula>0</formula>
    </cfRule>
  </conditionalFormatting>
  <conditionalFormatting sqref="I75">
    <cfRule type="cellIs" dxfId="89" priority="6" operator="lessThan">
      <formula>0</formula>
    </cfRule>
  </conditionalFormatting>
  <conditionalFormatting sqref="I83">
    <cfRule type="cellIs" dxfId="88" priority="5" operator="lessThan">
      <formula>0</formula>
    </cfRule>
  </conditionalFormatting>
  <conditionalFormatting sqref="I95">
    <cfRule type="cellIs" dxfId="87" priority="4" operator="lessThan">
      <formula>0</formula>
    </cfRule>
  </conditionalFormatting>
  <conditionalFormatting sqref="I115">
    <cfRule type="cellIs" dxfId="86" priority="3" operator="lessThan">
      <formula>0</formula>
    </cfRule>
  </conditionalFormatting>
  <conditionalFormatting sqref="I137">
    <cfRule type="cellIs" dxfId="85" priority="33" operator="lessThan">
      <formula>0</formula>
    </cfRule>
  </conditionalFormatting>
  <conditionalFormatting sqref="I144">
    <cfRule type="cellIs" dxfId="84" priority="2" operator="lessThan">
      <formula>0</formula>
    </cfRule>
  </conditionalFormatting>
  <conditionalFormatting sqref="I181">
    <cfRule type="cellIs" dxfId="83" priority="43" operator="lessThan">
      <formula>0</formula>
    </cfRule>
  </conditionalFormatting>
  <conditionalFormatting sqref="J113:J140 J142:J172">
    <cfRule type="cellIs" dxfId="82" priority="54" operator="lessThan">
      <formula>0</formula>
    </cfRule>
  </conditionalFormatting>
  <pageMargins left="1.1023622047244095" right="0.11811023622047245" top="0.55118110236220474" bottom="0.35433070866141736" header="0.31496062992125984" footer="0.31496062992125984"/>
  <pageSetup paperSize="14" scale="60" orientation="portrait" r:id="rId1"/>
  <ignoredErrors>
    <ignoredError sqref="O94 O23" formulaRange="1"/>
    <ignoredError sqref="J93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129"/>
  <sheetViews>
    <sheetView showGridLines="0" topLeftCell="C81" zoomScaleNormal="100" workbookViewId="0">
      <selection activeCell="E68" sqref="E68"/>
    </sheetView>
  </sheetViews>
  <sheetFormatPr baseColWidth="10" defaultRowHeight="11.25"/>
  <cols>
    <col min="1" max="2" width="11.42578125" style="44"/>
    <col min="3" max="3" width="14.28515625" style="44" customWidth="1"/>
    <col min="4" max="4" width="16.28515625" style="44" customWidth="1"/>
    <col min="5" max="5" width="11.42578125" style="44"/>
    <col min="6" max="6" width="25.28515625" style="44" customWidth="1"/>
    <col min="7" max="7" width="32.7109375" style="44" customWidth="1"/>
    <col min="8" max="16384" width="11.42578125" style="44"/>
  </cols>
  <sheetData>
    <row r="1" spans="1:2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>
      <c r="A4" s="35"/>
      <c r="B4" s="335" t="s">
        <v>104</v>
      </c>
      <c r="C4" s="336"/>
      <c r="D4" s="336"/>
      <c r="E4" s="336"/>
      <c r="F4" s="336"/>
      <c r="G4" s="336"/>
      <c r="H4" s="336"/>
      <c r="I4" s="336"/>
      <c r="J4" s="337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5"/>
      <c r="B5" s="335" t="s">
        <v>205</v>
      </c>
      <c r="C5" s="336"/>
      <c r="D5" s="336"/>
      <c r="E5" s="336"/>
      <c r="F5" s="336"/>
      <c r="G5" s="336"/>
      <c r="H5" s="336"/>
      <c r="I5" s="336"/>
      <c r="J5" s="337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>
      <c r="A6" s="35"/>
      <c r="B6" s="335" t="s">
        <v>105</v>
      </c>
      <c r="C6" s="336"/>
      <c r="D6" s="336"/>
      <c r="E6" s="336"/>
      <c r="F6" s="336"/>
      <c r="G6" s="336"/>
      <c r="H6" s="336"/>
      <c r="I6" s="336"/>
      <c r="J6" s="33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>
      <c r="A7" s="35"/>
      <c r="B7" s="335" t="s">
        <v>74</v>
      </c>
      <c r="C7" s="336"/>
      <c r="D7" s="336"/>
      <c r="E7" s="336"/>
      <c r="F7" s="336"/>
      <c r="G7" s="336"/>
      <c r="H7" s="336"/>
      <c r="I7" s="336"/>
      <c r="J7" s="337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>
      <c r="A8" s="35"/>
      <c r="B8" s="46" t="s">
        <v>3</v>
      </c>
      <c r="C8" s="97" t="s">
        <v>11</v>
      </c>
      <c r="D8" s="97" t="s">
        <v>10</v>
      </c>
      <c r="E8" s="97"/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 s="87" customFormat="1">
      <c r="A9" s="85"/>
      <c r="B9" s="41"/>
      <c r="C9" s="42"/>
      <c r="D9" s="42"/>
      <c r="E9" s="42"/>
      <c r="F9" s="42"/>
      <c r="G9" s="42" t="s">
        <v>237</v>
      </c>
      <c r="H9" s="52">
        <v>5317986</v>
      </c>
      <c r="I9" s="82"/>
      <c r="J9" s="116">
        <f>+H9-I9</f>
        <v>5317986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</row>
    <row r="10" spans="1:23" s="118" customFormat="1">
      <c r="A10" s="117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117"/>
      <c r="O10" s="117"/>
      <c r="P10" s="117"/>
      <c r="Q10" s="117"/>
      <c r="R10" s="117"/>
      <c r="S10" s="117"/>
      <c r="T10" s="117"/>
      <c r="U10" s="117"/>
      <c r="V10" s="117"/>
      <c r="W10" s="117"/>
    </row>
    <row r="11" spans="1:23">
      <c r="A11" s="35"/>
      <c r="B11" s="41"/>
      <c r="C11" s="42"/>
      <c r="D11" s="42"/>
      <c r="E11" s="42"/>
      <c r="F11" s="42" t="s">
        <v>171</v>
      </c>
      <c r="G11" s="42" t="s">
        <v>171</v>
      </c>
      <c r="H11" s="37">
        <f>SUBVENCION!C12+SUBVENCION!D12</f>
        <v>6888074</v>
      </c>
      <c r="I11" s="37"/>
      <c r="J11" s="51">
        <f>+J9+H11-I11</f>
        <v>12206060</v>
      </c>
      <c r="K11" s="35"/>
      <c r="L11" s="97" t="s">
        <v>5</v>
      </c>
      <c r="M11" s="36" t="s">
        <v>214</v>
      </c>
      <c r="N11" s="97" t="s">
        <v>212</v>
      </c>
      <c r="O11" s="97" t="s">
        <v>213</v>
      </c>
      <c r="P11" s="97" t="s">
        <v>7</v>
      </c>
      <c r="Q11" s="35"/>
      <c r="R11" s="35"/>
      <c r="S11" s="35"/>
      <c r="T11" s="35"/>
      <c r="U11" s="35"/>
      <c r="V11" s="35"/>
      <c r="W11" s="35"/>
    </row>
    <row r="12" spans="1:23">
      <c r="A12" s="35"/>
      <c r="B12" s="41"/>
      <c r="C12" s="42"/>
      <c r="D12" s="42"/>
      <c r="E12" s="42"/>
      <c r="F12" s="42" t="s">
        <v>199</v>
      </c>
      <c r="G12" s="42" t="s">
        <v>199</v>
      </c>
      <c r="H12" s="37"/>
      <c r="I12" s="37">
        <v>4855682</v>
      </c>
      <c r="J12" s="51">
        <f>+J11+H12-I12</f>
        <v>7350378</v>
      </c>
      <c r="K12" s="35"/>
      <c r="L12" s="115">
        <f>H11</f>
        <v>6888074</v>
      </c>
      <c r="M12" s="101">
        <f>L12*10%</f>
        <v>688807.4</v>
      </c>
      <c r="N12" s="115">
        <f>I12</f>
        <v>4855682</v>
      </c>
      <c r="O12" s="115">
        <f>I13+I14</f>
        <v>1197880</v>
      </c>
      <c r="P12" s="115">
        <f>L12-M12-N12-O12</f>
        <v>145704.59999999963</v>
      </c>
      <c r="Q12" s="35"/>
      <c r="R12" s="35"/>
      <c r="S12" s="35"/>
      <c r="T12" s="35"/>
      <c r="U12" s="35"/>
      <c r="V12" s="35"/>
      <c r="W12" s="35"/>
    </row>
    <row r="13" spans="1:23">
      <c r="A13" s="35"/>
      <c r="B13" s="41">
        <v>45968</v>
      </c>
      <c r="C13" s="42">
        <v>64</v>
      </c>
      <c r="D13" s="42" t="s">
        <v>453</v>
      </c>
      <c r="E13" s="42">
        <v>1168</v>
      </c>
      <c r="F13" s="42" t="s">
        <v>267</v>
      </c>
      <c r="G13" s="42" t="s">
        <v>267</v>
      </c>
      <c r="H13" s="37"/>
      <c r="I13" s="37">
        <v>1197880</v>
      </c>
      <c r="J13" s="51">
        <f t="shared" ref="J13:J14" si="0">+J12+H13-I13</f>
        <v>6152498</v>
      </c>
      <c r="K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>
      <c r="A14" s="35"/>
      <c r="B14" s="41"/>
      <c r="C14" s="40"/>
      <c r="D14" s="42"/>
      <c r="E14" s="42"/>
      <c r="F14" s="42"/>
      <c r="G14" s="42"/>
      <c r="H14" s="37"/>
      <c r="I14" s="37"/>
      <c r="J14" s="51">
        <f t="shared" si="0"/>
        <v>6152498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 s="49" customFormat="1">
      <c r="A15" s="48"/>
      <c r="B15" s="330" t="s">
        <v>67</v>
      </c>
      <c r="C15" s="331"/>
      <c r="D15" s="331"/>
      <c r="E15" s="331"/>
      <c r="F15" s="331"/>
      <c r="G15" s="331"/>
      <c r="H15" s="331"/>
      <c r="I15" s="331"/>
      <c r="J15" s="332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</row>
    <row r="16" spans="1:23">
      <c r="A16" s="35"/>
      <c r="B16" s="41"/>
      <c r="C16" s="42"/>
      <c r="D16" s="42"/>
      <c r="E16" s="42"/>
      <c r="F16" s="42" t="s">
        <v>171</v>
      </c>
      <c r="G16" s="42" t="s">
        <v>171</v>
      </c>
      <c r="H16" s="37">
        <f>SUBVENCION!E12+SUBVENCION!F12</f>
        <v>7301558</v>
      </c>
      <c r="I16" s="37"/>
      <c r="J16" s="51">
        <f>+J14+H16-I16</f>
        <v>13454056</v>
      </c>
      <c r="K16" s="35"/>
      <c r="L16" s="97" t="s">
        <v>5</v>
      </c>
      <c r="M16" s="36" t="s">
        <v>214</v>
      </c>
      <c r="N16" s="97" t="s">
        <v>212</v>
      </c>
      <c r="O16" s="97" t="s">
        <v>213</v>
      </c>
      <c r="P16" s="97" t="s">
        <v>7</v>
      </c>
      <c r="Q16" s="35"/>
      <c r="R16" s="35"/>
      <c r="S16" s="35"/>
      <c r="T16" s="35"/>
      <c r="U16" s="35"/>
      <c r="V16" s="35"/>
      <c r="W16" s="35"/>
    </row>
    <row r="17" spans="1:23">
      <c r="A17" s="35"/>
      <c r="B17" s="41"/>
      <c r="C17" s="42"/>
      <c r="D17" s="42"/>
      <c r="E17" s="42"/>
      <c r="F17" s="42" t="s">
        <v>199</v>
      </c>
      <c r="G17" s="42" t="s">
        <v>199</v>
      </c>
      <c r="H17" s="37"/>
      <c r="I17" s="37">
        <v>5135028</v>
      </c>
      <c r="J17" s="43">
        <f>+J16+H17-I17</f>
        <v>8319028</v>
      </c>
      <c r="K17" s="35"/>
      <c r="L17" s="115">
        <f>H16</f>
        <v>7301558</v>
      </c>
      <c r="M17" s="101">
        <f>L17*10%</f>
        <v>730155.8</v>
      </c>
      <c r="N17" s="115">
        <f>I17</f>
        <v>5135028</v>
      </c>
      <c r="O17" s="115">
        <v>0</v>
      </c>
      <c r="P17" s="115">
        <f>L17-M17-N17-O17</f>
        <v>1436374.2000000002</v>
      </c>
      <c r="Q17" s="35"/>
      <c r="R17" s="35"/>
      <c r="S17" s="35"/>
      <c r="T17" s="35"/>
      <c r="U17" s="35"/>
      <c r="V17" s="35"/>
      <c r="W17" s="35"/>
    </row>
    <row r="18" spans="1:23" s="49" customFormat="1">
      <c r="A18" s="48"/>
      <c r="B18" s="330" t="s">
        <v>68</v>
      </c>
      <c r="C18" s="331"/>
      <c r="D18" s="331"/>
      <c r="E18" s="331"/>
      <c r="F18" s="331"/>
      <c r="G18" s="331"/>
      <c r="H18" s="331"/>
      <c r="I18" s="331"/>
      <c r="J18" s="332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</row>
    <row r="19" spans="1:23">
      <c r="A19" s="35"/>
      <c r="B19" s="41"/>
      <c r="C19" s="42"/>
      <c r="D19" s="42"/>
      <c r="E19" s="42"/>
      <c r="F19" s="42" t="s">
        <v>171</v>
      </c>
      <c r="G19" s="42" t="s">
        <v>171</v>
      </c>
      <c r="H19" s="37">
        <f>SUBVENCION!G12+SUBVENCION!H12</f>
        <v>7025835</v>
      </c>
      <c r="I19" s="37"/>
      <c r="J19" s="43">
        <f>+J17+H19-I19</f>
        <v>15344863</v>
      </c>
      <c r="K19" s="35"/>
      <c r="L19" s="97" t="s">
        <v>5</v>
      </c>
      <c r="M19" s="36" t="s">
        <v>214</v>
      </c>
      <c r="N19" s="97" t="s">
        <v>212</v>
      </c>
      <c r="O19" s="97" t="s">
        <v>213</v>
      </c>
      <c r="P19" s="97" t="s">
        <v>7</v>
      </c>
      <c r="Q19" s="35"/>
      <c r="R19" s="35"/>
      <c r="S19" s="35"/>
      <c r="T19" s="35"/>
      <c r="U19" s="35"/>
      <c r="V19" s="35"/>
      <c r="W19" s="35"/>
    </row>
    <row r="20" spans="1:23">
      <c r="A20" s="35"/>
      <c r="B20" s="41"/>
      <c r="C20" s="42"/>
      <c r="D20" s="42"/>
      <c r="E20" s="42"/>
      <c r="F20" s="42" t="s">
        <v>199</v>
      </c>
      <c r="G20" s="42" t="s">
        <v>199</v>
      </c>
      <c r="H20" s="37"/>
      <c r="I20" s="37">
        <v>6245988</v>
      </c>
      <c r="J20" s="43">
        <f>+J19+H20-I20</f>
        <v>9098875</v>
      </c>
      <c r="K20" s="35"/>
      <c r="L20" s="115">
        <f>H19</f>
        <v>7025835</v>
      </c>
      <c r="M20" s="101">
        <f>L20*10%</f>
        <v>702583.5</v>
      </c>
      <c r="N20" s="115">
        <f>I20</f>
        <v>6245988</v>
      </c>
      <c r="O20" s="115">
        <f>I21+I22+I23+I24</f>
        <v>728102</v>
      </c>
      <c r="P20" s="115">
        <f>L20-M20-N20-O20</f>
        <v>-650838.5</v>
      </c>
      <c r="Q20" s="35"/>
      <c r="R20" s="35"/>
      <c r="S20" s="35"/>
      <c r="T20" s="35"/>
      <c r="U20" s="35"/>
      <c r="V20" s="35"/>
      <c r="W20" s="35"/>
    </row>
    <row r="21" spans="1:23">
      <c r="A21" s="35"/>
      <c r="B21" s="41">
        <v>46104</v>
      </c>
      <c r="C21" s="42">
        <v>2</v>
      </c>
      <c r="D21" s="42">
        <v>160</v>
      </c>
      <c r="E21" s="42">
        <v>370</v>
      </c>
      <c r="F21" s="42" t="s">
        <v>272</v>
      </c>
      <c r="G21" s="45" t="s">
        <v>240</v>
      </c>
      <c r="H21" s="37"/>
      <c r="I21" s="37">
        <v>200320</v>
      </c>
      <c r="J21" s="43">
        <f t="shared" ref="J21:J24" si="1">+J20+H21-I21</f>
        <v>8898555</v>
      </c>
      <c r="K21" s="35"/>
      <c r="L21" s="35"/>
      <c r="M21" s="35"/>
      <c r="N21" s="35"/>
      <c r="O21" s="35"/>
      <c r="P21" s="35"/>
      <c r="Q21" s="35"/>
      <c r="R21" s="155"/>
      <c r="S21" s="35"/>
      <c r="T21" s="35"/>
      <c r="U21" s="35"/>
      <c r="V21" s="35"/>
      <c r="W21" s="35"/>
    </row>
    <row r="22" spans="1:23">
      <c r="A22" s="35"/>
      <c r="B22" s="41">
        <v>46108</v>
      </c>
      <c r="C22" s="42">
        <v>5</v>
      </c>
      <c r="D22" s="42" t="s">
        <v>435</v>
      </c>
      <c r="E22" s="42">
        <v>880</v>
      </c>
      <c r="F22" s="42" t="s">
        <v>278</v>
      </c>
      <c r="G22" s="45" t="s">
        <v>271</v>
      </c>
      <c r="H22" s="37"/>
      <c r="I22" s="37">
        <v>319741</v>
      </c>
      <c r="J22" s="43">
        <f t="shared" si="1"/>
        <v>8578814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spans="1:23">
      <c r="A23" s="35"/>
      <c r="B23" s="41">
        <v>45742</v>
      </c>
      <c r="C23" s="42">
        <v>4</v>
      </c>
      <c r="D23" s="42">
        <v>174</v>
      </c>
      <c r="E23" s="42">
        <v>600</v>
      </c>
      <c r="F23" s="42" t="s">
        <v>242</v>
      </c>
      <c r="G23" s="42" t="s">
        <v>242</v>
      </c>
      <c r="H23" s="37"/>
      <c r="I23" s="37">
        <v>208041</v>
      </c>
      <c r="J23" s="43">
        <f t="shared" si="1"/>
        <v>8370773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1:23">
      <c r="A24" s="35"/>
      <c r="B24" s="41"/>
      <c r="C24" s="42"/>
      <c r="D24" s="42"/>
      <c r="E24" s="42"/>
      <c r="F24" s="42"/>
      <c r="G24" s="45"/>
      <c r="H24" s="37"/>
      <c r="I24" s="37"/>
      <c r="J24" s="43">
        <f t="shared" si="1"/>
        <v>8370773</v>
      </c>
      <c r="K24" s="35"/>
      <c r="L24" s="35"/>
      <c r="M24" s="35"/>
      <c r="N24" s="35"/>
      <c r="O24" s="35"/>
      <c r="P24" s="35"/>
      <c r="Q24" s="35"/>
      <c r="R24" s="273"/>
      <c r="S24" s="35"/>
      <c r="T24" s="35"/>
      <c r="U24" s="35"/>
      <c r="V24" s="35"/>
      <c r="W24" s="35"/>
    </row>
    <row r="25" spans="1:23" s="49" customFormat="1">
      <c r="B25" s="330" t="s">
        <v>69</v>
      </c>
      <c r="C25" s="331"/>
      <c r="D25" s="331"/>
      <c r="E25" s="331"/>
      <c r="F25" s="331"/>
      <c r="G25" s="331"/>
      <c r="H25" s="331"/>
      <c r="I25" s="331"/>
      <c r="J25" s="332"/>
    </row>
    <row r="26" spans="1:23">
      <c r="B26" s="41"/>
      <c r="C26" s="42"/>
      <c r="D26" s="42"/>
      <c r="E26" s="42"/>
      <c r="F26" s="42" t="s">
        <v>171</v>
      </c>
      <c r="G26" s="42" t="s">
        <v>171</v>
      </c>
      <c r="H26" s="37">
        <f>SUBVENCION!I12+SUBVENCION!J12</f>
        <v>6528303</v>
      </c>
      <c r="I26" s="37"/>
      <c r="J26" s="43">
        <f>+J24+H26-I26</f>
        <v>14899076</v>
      </c>
      <c r="L26" s="97" t="s">
        <v>5</v>
      </c>
      <c r="M26" s="36" t="s">
        <v>214</v>
      </c>
      <c r="N26" s="97" t="s">
        <v>212</v>
      </c>
      <c r="O26" s="97" t="s">
        <v>213</v>
      </c>
      <c r="P26" s="97" t="s">
        <v>7</v>
      </c>
    </row>
    <row r="27" spans="1:23">
      <c r="B27" s="41"/>
      <c r="C27" s="42"/>
      <c r="D27" s="42"/>
      <c r="E27" s="42"/>
      <c r="F27" s="42" t="s">
        <v>199</v>
      </c>
      <c r="G27" s="42" t="s">
        <v>199</v>
      </c>
      <c r="H27" s="37"/>
      <c r="I27" s="37">
        <v>6252447</v>
      </c>
      <c r="J27" s="43">
        <f>+J26+H27-I27</f>
        <v>8646629</v>
      </c>
      <c r="L27" s="115">
        <f>H26</f>
        <v>6528303</v>
      </c>
      <c r="M27" s="101">
        <f>L27*10%</f>
        <v>652830.30000000005</v>
      </c>
      <c r="N27" s="115">
        <f>I27</f>
        <v>6252447</v>
      </c>
      <c r="O27" s="115">
        <f>I28+I29+I30+I31+I32+I33</f>
        <v>1157784</v>
      </c>
      <c r="P27" s="115">
        <f>L27-M27-N27-O27</f>
        <v>-1534758.2999999998</v>
      </c>
    </row>
    <row r="28" spans="1:23">
      <c r="B28" s="41">
        <v>46114</v>
      </c>
      <c r="C28" s="42">
        <v>6</v>
      </c>
      <c r="D28" s="42">
        <v>219</v>
      </c>
      <c r="E28" s="42">
        <v>871</v>
      </c>
      <c r="F28" s="42" t="s">
        <v>358</v>
      </c>
      <c r="G28" s="42" t="s">
        <v>358</v>
      </c>
      <c r="H28" s="37"/>
      <c r="I28" s="37">
        <v>170000</v>
      </c>
      <c r="J28" s="43">
        <f t="shared" ref="J28:J33" si="2">+J27+H28-I28</f>
        <v>8476629</v>
      </c>
    </row>
    <row r="29" spans="1:23">
      <c r="B29" s="41">
        <v>46122</v>
      </c>
      <c r="C29" s="42">
        <v>7</v>
      </c>
      <c r="D29" s="42" t="s">
        <v>451</v>
      </c>
      <c r="E29" s="42">
        <v>1034</v>
      </c>
      <c r="F29" s="42" t="s">
        <v>377</v>
      </c>
      <c r="G29" s="45" t="s">
        <v>378</v>
      </c>
      <c r="H29" s="37"/>
      <c r="I29" s="37">
        <v>571200</v>
      </c>
      <c r="J29" s="43">
        <f t="shared" si="2"/>
        <v>7905429</v>
      </c>
    </row>
    <row r="30" spans="1:23">
      <c r="B30" s="41">
        <v>46142</v>
      </c>
      <c r="C30" s="42">
        <v>13</v>
      </c>
      <c r="D30" s="42" t="s">
        <v>354</v>
      </c>
      <c r="E30" s="42" t="s">
        <v>511</v>
      </c>
      <c r="F30" s="42" t="s">
        <v>377</v>
      </c>
      <c r="G30" s="45" t="s">
        <v>274</v>
      </c>
      <c r="H30" s="37"/>
      <c r="I30" s="37">
        <v>0</v>
      </c>
      <c r="J30" s="43">
        <f t="shared" si="2"/>
        <v>7905429</v>
      </c>
    </row>
    <row r="31" spans="1:23">
      <c r="B31" s="41">
        <v>45777</v>
      </c>
      <c r="C31" s="42">
        <v>11</v>
      </c>
      <c r="D31" s="42">
        <v>372</v>
      </c>
      <c r="E31" s="42">
        <v>807</v>
      </c>
      <c r="F31" s="42" t="s">
        <v>219</v>
      </c>
      <c r="G31" s="42" t="s">
        <v>219</v>
      </c>
      <c r="H31" s="37"/>
      <c r="I31" s="37">
        <v>209000</v>
      </c>
      <c r="J31" s="43">
        <f t="shared" si="2"/>
        <v>7696429</v>
      </c>
    </row>
    <row r="32" spans="1:23">
      <c r="B32" s="41">
        <v>46142</v>
      </c>
      <c r="C32" s="42">
        <v>12</v>
      </c>
      <c r="D32" s="42">
        <v>373</v>
      </c>
      <c r="E32" s="42">
        <v>713</v>
      </c>
      <c r="F32" s="42" t="s">
        <v>242</v>
      </c>
      <c r="G32" s="42" t="s">
        <v>242</v>
      </c>
      <c r="H32" s="37"/>
      <c r="I32" s="37">
        <v>207584</v>
      </c>
      <c r="J32" s="43">
        <f t="shared" si="2"/>
        <v>7488845</v>
      </c>
    </row>
    <row r="33" spans="2:16">
      <c r="B33" s="41"/>
      <c r="C33" s="42"/>
      <c r="D33" s="42"/>
      <c r="E33" s="42"/>
      <c r="F33" s="42"/>
      <c r="G33" s="45"/>
      <c r="H33" s="37"/>
      <c r="I33" s="37"/>
      <c r="J33" s="43">
        <f t="shared" si="2"/>
        <v>7488845</v>
      </c>
    </row>
    <row r="34" spans="2:16">
      <c r="B34" s="341" t="s">
        <v>120</v>
      </c>
      <c r="C34" s="342"/>
      <c r="D34" s="342"/>
      <c r="E34" s="342"/>
      <c r="F34" s="342"/>
      <c r="G34" s="342"/>
      <c r="H34" s="342"/>
      <c r="I34" s="342"/>
      <c r="J34" s="343"/>
    </row>
    <row r="35" spans="2:16">
      <c r="B35" s="41"/>
      <c r="C35" s="42"/>
      <c r="D35" s="42"/>
      <c r="E35" s="42"/>
      <c r="F35" s="42" t="s">
        <v>171</v>
      </c>
      <c r="G35" s="42" t="s">
        <v>171</v>
      </c>
      <c r="H35" s="37">
        <f>SUBVENCION!K12+SUBVENCION!L12</f>
        <v>6478062</v>
      </c>
      <c r="I35" s="37"/>
      <c r="J35" s="43">
        <f>+J33+H35-I35</f>
        <v>13966907</v>
      </c>
      <c r="L35" s="97" t="s">
        <v>5</v>
      </c>
      <c r="M35" s="36" t="s">
        <v>214</v>
      </c>
      <c r="N35" s="97" t="s">
        <v>212</v>
      </c>
      <c r="O35" s="97" t="s">
        <v>213</v>
      </c>
      <c r="P35" s="97" t="s">
        <v>7</v>
      </c>
    </row>
    <row r="36" spans="2:16">
      <c r="B36" s="41"/>
      <c r="C36" s="42"/>
      <c r="D36" s="42"/>
      <c r="E36" s="42"/>
      <c r="F36" s="42" t="s">
        <v>199</v>
      </c>
      <c r="G36" s="42" t="s">
        <v>199</v>
      </c>
      <c r="H36" s="37"/>
      <c r="I36" s="37">
        <v>6247581</v>
      </c>
      <c r="J36" s="43">
        <f>+J35+H36-I36</f>
        <v>7719326</v>
      </c>
      <c r="L36" s="115">
        <f>H35</f>
        <v>6478062</v>
      </c>
      <c r="M36" s="101">
        <f>L36*10%</f>
        <v>647806.20000000007</v>
      </c>
      <c r="N36" s="115">
        <f>I36</f>
        <v>6247581</v>
      </c>
      <c r="O36" s="115">
        <f>SUM(I37:I40)</f>
        <v>830034</v>
      </c>
      <c r="P36" s="115">
        <f>L36-M36-N36-O36</f>
        <v>-1247359.2000000002</v>
      </c>
    </row>
    <row r="37" spans="2:16">
      <c r="B37" s="41">
        <v>46146</v>
      </c>
      <c r="C37" s="42">
        <v>14</v>
      </c>
      <c r="D37" s="42">
        <v>382</v>
      </c>
      <c r="E37" s="42">
        <v>708</v>
      </c>
      <c r="F37" s="42" t="s">
        <v>272</v>
      </c>
      <c r="G37" s="42" t="s">
        <v>272</v>
      </c>
      <c r="H37" s="37"/>
      <c r="I37" s="37">
        <v>204920</v>
      </c>
      <c r="J37" s="43">
        <f t="shared" ref="J37:J40" si="3">+J36+H37-I37</f>
        <v>7514406</v>
      </c>
    </row>
    <row r="38" spans="2:16">
      <c r="B38" s="41">
        <v>46159</v>
      </c>
      <c r="C38" s="42">
        <v>17</v>
      </c>
      <c r="D38" s="42">
        <v>454</v>
      </c>
      <c r="E38" s="42"/>
      <c r="F38" s="42" t="s">
        <v>272</v>
      </c>
      <c r="G38" s="42" t="s">
        <v>272</v>
      </c>
      <c r="H38" s="37"/>
      <c r="I38" s="37">
        <v>207090</v>
      </c>
      <c r="J38" s="43">
        <f t="shared" si="3"/>
        <v>7307316</v>
      </c>
    </row>
    <row r="39" spans="2:16">
      <c r="B39" s="41">
        <v>46160</v>
      </c>
      <c r="C39" s="42">
        <v>18</v>
      </c>
      <c r="D39" s="42">
        <v>458</v>
      </c>
      <c r="E39" s="42">
        <v>807</v>
      </c>
      <c r="F39" s="83" t="s">
        <v>449</v>
      </c>
      <c r="G39" s="45" t="s">
        <v>219</v>
      </c>
      <c r="H39" s="37"/>
      <c r="I39" s="37">
        <v>209000</v>
      </c>
      <c r="J39" s="43">
        <f t="shared" si="3"/>
        <v>7098316</v>
      </c>
    </row>
    <row r="40" spans="2:16">
      <c r="B40" s="41">
        <v>46160</v>
      </c>
      <c r="C40" s="42">
        <v>19</v>
      </c>
      <c r="D40" s="42">
        <v>460</v>
      </c>
      <c r="E40" s="42">
        <v>951</v>
      </c>
      <c r="F40" s="42" t="s">
        <v>272</v>
      </c>
      <c r="G40" s="45" t="s">
        <v>450</v>
      </c>
      <c r="H40" s="37"/>
      <c r="I40" s="37">
        <v>209024</v>
      </c>
      <c r="J40" s="43">
        <f t="shared" si="3"/>
        <v>6889292</v>
      </c>
    </row>
    <row r="41" spans="2:16">
      <c r="B41" s="341" t="s">
        <v>129</v>
      </c>
      <c r="C41" s="342"/>
      <c r="D41" s="342"/>
      <c r="E41" s="342"/>
      <c r="F41" s="342"/>
      <c r="G41" s="342"/>
      <c r="H41" s="342"/>
      <c r="I41" s="342"/>
      <c r="J41" s="343"/>
    </row>
    <row r="42" spans="2:16">
      <c r="B42" s="41"/>
      <c r="C42" s="42"/>
      <c r="D42" s="42"/>
      <c r="E42" s="42"/>
      <c r="F42" s="42" t="s">
        <v>171</v>
      </c>
      <c r="G42" s="42" t="s">
        <v>171</v>
      </c>
      <c r="H42" s="37">
        <f>SUBVENCION!M12+SUBVENCION!N12</f>
        <v>5929186</v>
      </c>
      <c r="I42" s="37"/>
      <c r="J42" s="43">
        <f>J40+H42-I42</f>
        <v>12818478</v>
      </c>
      <c r="L42" s="97" t="s">
        <v>5</v>
      </c>
      <c r="M42" s="36" t="s">
        <v>214</v>
      </c>
      <c r="N42" s="97" t="s">
        <v>212</v>
      </c>
      <c r="O42" s="97" t="s">
        <v>213</v>
      </c>
      <c r="P42" s="97" t="s">
        <v>7</v>
      </c>
    </row>
    <row r="43" spans="2:16">
      <c r="B43" s="41"/>
      <c r="C43" s="42"/>
      <c r="D43" s="42"/>
      <c r="E43" s="42"/>
      <c r="F43" s="42" t="s">
        <v>199</v>
      </c>
      <c r="G43" s="42" t="s">
        <v>199</v>
      </c>
      <c r="H43" s="37"/>
      <c r="I43" s="37">
        <v>6376758</v>
      </c>
      <c r="J43" s="43">
        <f>+J42+H43-I43</f>
        <v>6441720</v>
      </c>
      <c r="L43" s="115">
        <f>H42</f>
        <v>5929186</v>
      </c>
      <c r="M43" s="101">
        <f>L43*10%</f>
        <v>592918.6</v>
      </c>
      <c r="N43" s="115">
        <f>I43</f>
        <v>6376758</v>
      </c>
      <c r="O43" s="115">
        <f>I44+I45+I46+I47</f>
        <v>830688</v>
      </c>
      <c r="P43" s="115">
        <f>L43-M43-N43-O43</f>
        <v>-1871178.5999999996</v>
      </c>
    </row>
    <row r="44" spans="2:16">
      <c r="B44" s="41">
        <v>46181</v>
      </c>
      <c r="C44" s="42">
        <v>20</v>
      </c>
      <c r="D44" s="42">
        <v>565</v>
      </c>
      <c r="E44" s="42">
        <v>1029</v>
      </c>
      <c r="F44" s="42" t="s">
        <v>219</v>
      </c>
      <c r="G44" s="42" t="s">
        <v>449</v>
      </c>
      <c r="H44" s="37"/>
      <c r="I44" s="37">
        <v>209000</v>
      </c>
      <c r="J44" s="43">
        <f t="shared" ref="J44:J47" si="4">+J43+H44-I44</f>
        <v>6232720</v>
      </c>
      <c r="L44" s="104"/>
      <c r="M44" s="50"/>
      <c r="N44" s="104"/>
      <c r="O44" s="104"/>
      <c r="P44" s="104"/>
    </row>
    <row r="45" spans="2:16">
      <c r="B45" s="41">
        <v>46183</v>
      </c>
      <c r="C45" s="42">
        <v>24</v>
      </c>
      <c r="D45" s="42">
        <v>566</v>
      </c>
      <c r="E45" s="42">
        <v>1022</v>
      </c>
      <c r="F45" s="42" t="s">
        <v>242</v>
      </c>
      <c r="G45" s="42" t="s">
        <v>242</v>
      </c>
      <c r="H45" s="37"/>
      <c r="I45" s="37">
        <v>209288</v>
      </c>
      <c r="J45" s="43">
        <f t="shared" si="4"/>
        <v>6023432</v>
      </c>
      <c r="L45" s="104"/>
      <c r="M45" s="50"/>
      <c r="N45" s="104"/>
      <c r="O45" s="104"/>
      <c r="P45" s="104"/>
    </row>
    <row r="46" spans="2:16">
      <c r="B46" s="41">
        <v>46184</v>
      </c>
      <c r="C46" s="42">
        <v>29</v>
      </c>
      <c r="D46" s="42">
        <v>575</v>
      </c>
      <c r="E46" s="42">
        <v>953</v>
      </c>
      <c r="F46" s="42" t="s">
        <v>272</v>
      </c>
      <c r="G46" s="42" t="s">
        <v>240</v>
      </c>
      <c r="H46" s="37"/>
      <c r="I46" s="37">
        <v>211500</v>
      </c>
      <c r="J46" s="43">
        <f t="shared" si="4"/>
        <v>5811932</v>
      </c>
      <c r="L46" s="104"/>
      <c r="M46" s="50"/>
      <c r="N46" s="104"/>
      <c r="O46" s="104"/>
      <c r="P46" s="104"/>
    </row>
    <row r="47" spans="2:16">
      <c r="B47" s="41">
        <v>46184</v>
      </c>
      <c r="C47" s="42">
        <v>30</v>
      </c>
      <c r="D47" s="42">
        <v>576</v>
      </c>
      <c r="E47" s="42">
        <v>1023</v>
      </c>
      <c r="F47" s="42" t="s">
        <v>272</v>
      </c>
      <c r="G47" s="42" t="s">
        <v>357</v>
      </c>
      <c r="H47" s="37"/>
      <c r="I47" s="37">
        <v>200900</v>
      </c>
      <c r="J47" s="43">
        <f t="shared" si="4"/>
        <v>5611032</v>
      </c>
      <c r="L47" s="104"/>
      <c r="M47" s="50"/>
      <c r="N47" s="104"/>
      <c r="O47" s="104"/>
      <c r="P47" s="104"/>
    </row>
    <row r="48" spans="2:16">
      <c r="B48" s="341" t="s">
        <v>65</v>
      </c>
      <c r="C48" s="342"/>
      <c r="D48" s="342"/>
      <c r="E48" s="342"/>
      <c r="F48" s="342"/>
      <c r="G48" s="342"/>
      <c r="H48" s="342"/>
      <c r="I48" s="342"/>
      <c r="J48" s="343"/>
    </row>
    <row r="49" spans="2:16">
      <c r="B49" s="41"/>
      <c r="C49" s="42"/>
      <c r="D49" s="42"/>
      <c r="E49" s="42"/>
      <c r="F49" s="42" t="s">
        <v>171</v>
      </c>
      <c r="G49" s="42" t="s">
        <v>171</v>
      </c>
      <c r="H49" s="37">
        <f>+SUBVENCION!O12+SUBVENCION!P12</f>
        <v>6501775</v>
      </c>
      <c r="I49" s="37"/>
      <c r="J49" s="43">
        <f>+J47+H49-I49</f>
        <v>12112807</v>
      </c>
      <c r="L49" s="97" t="s">
        <v>5</v>
      </c>
      <c r="M49" s="36" t="s">
        <v>214</v>
      </c>
      <c r="N49" s="97" t="s">
        <v>212</v>
      </c>
      <c r="O49" s="97" t="s">
        <v>213</v>
      </c>
      <c r="P49" s="97" t="s">
        <v>7</v>
      </c>
    </row>
    <row r="50" spans="2:16">
      <c r="B50" s="41"/>
      <c r="C50" s="42"/>
      <c r="D50" s="42"/>
      <c r="E50" s="42"/>
      <c r="F50" s="42" t="s">
        <v>199</v>
      </c>
      <c r="G50" s="42" t="s">
        <v>199</v>
      </c>
      <c r="H50" s="37"/>
      <c r="I50" s="37">
        <v>6262894</v>
      </c>
      <c r="J50" s="43">
        <f>+J49+H50-I50</f>
        <v>5849913</v>
      </c>
      <c r="L50" s="115">
        <f>H49</f>
        <v>6501775</v>
      </c>
      <c r="M50" s="101">
        <f>L50*10%</f>
        <v>650177.5</v>
      </c>
      <c r="N50" s="115">
        <f>I50</f>
        <v>6262894</v>
      </c>
      <c r="O50" s="115">
        <f>SUM(I51:I53)</f>
        <v>1070711</v>
      </c>
      <c r="P50" s="115">
        <f>L50-M50-N50-O50</f>
        <v>-1482007.5</v>
      </c>
    </row>
    <row r="51" spans="2:16">
      <c r="B51" s="41">
        <v>46213</v>
      </c>
      <c r="C51" s="42">
        <v>40</v>
      </c>
      <c r="D51" s="42" t="s">
        <v>595</v>
      </c>
      <c r="E51" s="42">
        <v>1166</v>
      </c>
      <c r="F51" s="42" t="s">
        <v>250</v>
      </c>
      <c r="G51" s="42" t="s">
        <v>529</v>
      </c>
      <c r="H51" s="37"/>
      <c r="I51" s="37">
        <v>654500</v>
      </c>
      <c r="J51" s="43">
        <f t="shared" ref="J51:J55" si="5">+J50+H51-I51</f>
        <v>5195413</v>
      </c>
    </row>
    <row r="52" spans="2:16">
      <c r="B52" s="41">
        <v>46217</v>
      </c>
      <c r="C52" s="42">
        <v>42</v>
      </c>
      <c r="D52" s="42">
        <v>690</v>
      </c>
      <c r="E52" s="79"/>
      <c r="F52" s="42" t="s">
        <v>278</v>
      </c>
      <c r="G52" s="42" t="s">
        <v>544</v>
      </c>
      <c r="H52" s="37"/>
      <c r="I52" s="37">
        <v>207331</v>
      </c>
      <c r="J52" s="43">
        <f t="shared" si="5"/>
        <v>4988082</v>
      </c>
    </row>
    <row r="53" spans="2:16">
      <c r="B53" s="41">
        <v>46232</v>
      </c>
      <c r="C53" s="42">
        <v>44</v>
      </c>
      <c r="D53" s="42">
        <v>764</v>
      </c>
      <c r="E53" s="42">
        <v>1299</v>
      </c>
      <c r="F53" s="42" t="s">
        <v>250</v>
      </c>
      <c r="G53" s="42" t="s">
        <v>240</v>
      </c>
      <c r="H53" s="37"/>
      <c r="I53" s="37">
        <v>208880</v>
      </c>
      <c r="J53" s="43">
        <f t="shared" si="5"/>
        <v>4779202</v>
      </c>
    </row>
    <row r="54" spans="2:16">
      <c r="B54" s="41"/>
      <c r="C54" s="42"/>
      <c r="D54" s="42"/>
      <c r="E54" s="42"/>
      <c r="F54" s="42"/>
      <c r="G54" s="42"/>
      <c r="H54" s="37"/>
      <c r="I54" s="37"/>
      <c r="J54" s="43">
        <f t="shared" si="5"/>
        <v>4779202</v>
      </c>
    </row>
    <row r="55" spans="2:16">
      <c r="B55" s="41"/>
      <c r="C55" s="42"/>
      <c r="D55" s="42"/>
      <c r="E55" s="42"/>
      <c r="F55" s="42"/>
      <c r="G55" s="42"/>
      <c r="H55" s="37"/>
      <c r="I55" s="37"/>
      <c r="J55" s="43">
        <f t="shared" si="5"/>
        <v>4779202</v>
      </c>
    </row>
    <row r="56" spans="2:16">
      <c r="B56" s="320" t="s">
        <v>130</v>
      </c>
      <c r="C56" s="321"/>
      <c r="D56" s="321"/>
      <c r="E56" s="321"/>
      <c r="F56" s="321"/>
      <c r="G56" s="321"/>
      <c r="H56" s="321"/>
      <c r="I56" s="321"/>
      <c r="J56" s="322"/>
    </row>
    <row r="57" spans="2:16">
      <c r="B57" s="41"/>
      <c r="C57" s="42"/>
      <c r="D57" s="42"/>
      <c r="E57" s="42"/>
      <c r="F57" s="42" t="s">
        <v>171</v>
      </c>
      <c r="G57" s="42" t="s">
        <v>171</v>
      </c>
      <c r="H57" s="37">
        <f>+SUBVENCION!Q12+SUBVENCION!R12</f>
        <v>6414454</v>
      </c>
      <c r="I57" s="37"/>
      <c r="J57" s="43">
        <f>+J55+H57-I57</f>
        <v>11193656</v>
      </c>
      <c r="L57" s="97" t="s">
        <v>5</v>
      </c>
      <c r="M57" s="36" t="s">
        <v>214</v>
      </c>
      <c r="N57" s="97" t="s">
        <v>212</v>
      </c>
      <c r="O57" s="97" t="s">
        <v>213</v>
      </c>
      <c r="P57" s="97" t="s">
        <v>7</v>
      </c>
    </row>
    <row r="58" spans="2:16">
      <c r="B58" s="41"/>
      <c r="C58" s="42"/>
      <c r="D58" s="42"/>
      <c r="E58" s="42"/>
      <c r="F58" s="42" t="s">
        <v>199</v>
      </c>
      <c r="G58" s="42" t="s">
        <v>199</v>
      </c>
      <c r="H58" s="37"/>
      <c r="I58" s="37">
        <v>6285891</v>
      </c>
      <c r="J58" s="43">
        <f>+J57+H58-I58</f>
        <v>4907765</v>
      </c>
      <c r="L58" s="115">
        <f>H57</f>
        <v>6414454</v>
      </c>
      <c r="M58" s="101">
        <f>L58*10%</f>
        <v>641445.4</v>
      </c>
      <c r="N58" s="115">
        <f>I58</f>
        <v>6285891</v>
      </c>
      <c r="O58" s="115">
        <f>SUM(I59:I64)</f>
        <v>1075928</v>
      </c>
      <c r="P58" s="115">
        <f>L58-M58-N58-O58</f>
        <v>-1588810.4000000004</v>
      </c>
    </row>
    <row r="59" spans="2:16">
      <c r="B59" s="41">
        <v>46233</v>
      </c>
      <c r="C59" s="42">
        <v>45</v>
      </c>
      <c r="D59" s="42">
        <v>746</v>
      </c>
      <c r="E59" s="42">
        <v>1282</v>
      </c>
      <c r="F59" s="42" t="s">
        <v>250</v>
      </c>
      <c r="G59" s="42" t="s">
        <v>458</v>
      </c>
      <c r="H59" s="37"/>
      <c r="I59" s="37">
        <v>207270</v>
      </c>
      <c r="J59" s="43">
        <f t="shared" ref="J59:J63" si="6">+J58+H59-I59</f>
        <v>4700495</v>
      </c>
    </row>
    <row r="60" spans="2:16">
      <c r="B60" s="41">
        <v>46237</v>
      </c>
      <c r="C60" s="42">
        <v>49</v>
      </c>
      <c r="D60" s="42">
        <v>747</v>
      </c>
      <c r="E60" s="42">
        <v>1245</v>
      </c>
      <c r="F60" s="42" t="s">
        <v>242</v>
      </c>
      <c r="G60" s="42" t="s">
        <v>242</v>
      </c>
      <c r="H60" s="37"/>
      <c r="I60" s="37">
        <v>214885</v>
      </c>
      <c r="J60" s="43">
        <f t="shared" si="6"/>
        <v>4485610</v>
      </c>
    </row>
    <row r="61" spans="2:16">
      <c r="B61" s="41">
        <v>46240</v>
      </c>
      <c r="C61" s="42">
        <v>51</v>
      </c>
      <c r="D61" s="42">
        <v>765</v>
      </c>
      <c r="E61" s="42">
        <v>1289</v>
      </c>
      <c r="F61" s="42" t="s">
        <v>449</v>
      </c>
      <c r="G61" s="42" t="s">
        <v>449</v>
      </c>
      <c r="H61" s="37"/>
      <c r="I61" s="37">
        <v>209000</v>
      </c>
      <c r="J61" s="43">
        <f t="shared" si="6"/>
        <v>4276610</v>
      </c>
    </row>
    <row r="62" spans="2:16">
      <c r="B62" s="41">
        <v>46240</v>
      </c>
      <c r="C62" s="42">
        <v>53</v>
      </c>
      <c r="D62" s="42" t="s">
        <v>750</v>
      </c>
      <c r="E62" s="42"/>
      <c r="F62" s="42" t="s">
        <v>278</v>
      </c>
      <c r="G62" s="42" t="s">
        <v>271</v>
      </c>
      <c r="H62" s="37"/>
      <c r="I62" s="37">
        <v>404313</v>
      </c>
      <c r="J62" s="43">
        <f t="shared" si="6"/>
        <v>3872297</v>
      </c>
    </row>
    <row r="63" spans="2:16">
      <c r="B63" s="41">
        <v>46261</v>
      </c>
      <c r="C63" s="42">
        <v>56</v>
      </c>
      <c r="D63" s="42">
        <v>892</v>
      </c>
      <c r="E63" s="42"/>
      <c r="F63" s="42" t="s">
        <v>250</v>
      </c>
      <c r="G63" s="42" t="s">
        <v>689</v>
      </c>
      <c r="H63" s="37"/>
      <c r="I63" s="37">
        <v>40460</v>
      </c>
      <c r="J63" s="43">
        <f t="shared" si="6"/>
        <v>3831837</v>
      </c>
    </row>
    <row r="64" spans="2:16">
      <c r="B64" s="41"/>
      <c r="C64" s="42"/>
      <c r="D64" s="42"/>
      <c r="E64" s="42"/>
      <c r="F64" s="42"/>
      <c r="G64" s="42"/>
      <c r="H64" s="37"/>
      <c r="I64" s="37"/>
      <c r="J64" s="43">
        <f>+J63+H64-I64</f>
        <v>3831837</v>
      </c>
    </row>
    <row r="65" spans="2:16">
      <c r="B65" s="320" t="s">
        <v>131</v>
      </c>
      <c r="C65" s="321"/>
      <c r="D65" s="321"/>
      <c r="E65" s="321"/>
      <c r="F65" s="321"/>
      <c r="G65" s="321"/>
      <c r="H65" s="321"/>
      <c r="I65" s="321"/>
      <c r="J65" s="322"/>
    </row>
    <row r="66" spans="2:16">
      <c r="B66" s="41"/>
      <c r="C66" s="42"/>
      <c r="D66" s="42"/>
      <c r="E66" s="42"/>
      <c r="F66" s="42" t="s">
        <v>171</v>
      </c>
      <c r="G66" s="42" t="s">
        <v>171</v>
      </c>
      <c r="H66" s="37">
        <f>+SUBVENCION!S12+SUBVENCION!T12</f>
        <v>6428618</v>
      </c>
      <c r="I66" s="37"/>
      <c r="J66" s="43">
        <f>+J64+H66-I66</f>
        <v>10260455</v>
      </c>
      <c r="L66" s="97" t="s">
        <v>5</v>
      </c>
      <c r="M66" s="36" t="s">
        <v>214</v>
      </c>
      <c r="N66" s="97" t="s">
        <v>212</v>
      </c>
      <c r="O66" s="97" t="s">
        <v>213</v>
      </c>
      <c r="P66" s="97" t="s">
        <v>7</v>
      </c>
    </row>
    <row r="67" spans="2:16">
      <c r="B67" s="41"/>
      <c r="C67" s="42"/>
      <c r="D67" s="42"/>
      <c r="E67" s="42"/>
      <c r="F67" s="42" t="s">
        <v>199</v>
      </c>
      <c r="G67" s="42" t="s">
        <v>199</v>
      </c>
      <c r="H67" s="37"/>
      <c r="I67" s="37">
        <v>6286575</v>
      </c>
      <c r="J67" s="43">
        <f t="shared" ref="J67:J122" si="7">+J66+H67-I67</f>
        <v>3973880</v>
      </c>
      <c r="L67" s="115">
        <f>H66</f>
        <v>6428618</v>
      </c>
      <c r="M67" s="101">
        <f>L67*10%</f>
        <v>642861.80000000005</v>
      </c>
      <c r="N67" s="115">
        <f>I67</f>
        <v>6286575</v>
      </c>
      <c r="O67" s="115">
        <f>I68+I69+I70+I71</f>
        <v>843868</v>
      </c>
      <c r="P67" s="115">
        <f>L67-M67-N67-O67</f>
        <v>-1344686.7999999998</v>
      </c>
    </row>
    <row r="68" spans="2:16">
      <c r="B68" s="41">
        <v>46266</v>
      </c>
      <c r="C68" s="42">
        <v>57</v>
      </c>
      <c r="D68" s="42">
        <v>907</v>
      </c>
      <c r="E68" s="42"/>
      <c r="F68" s="42" t="s">
        <v>242</v>
      </c>
      <c r="G68" s="45" t="s">
        <v>242</v>
      </c>
      <c r="H68" s="37"/>
      <c r="I68" s="37">
        <v>214438</v>
      </c>
      <c r="J68" s="43">
        <f t="shared" si="7"/>
        <v>3759442</v>
      </c>
    </row>
    <row r="69" spans="2:16">
      <c r="B69" s="41">
        <v>46268</v>
      </c>
      <c r="C69" s="42">
        <v>58</v>
      </c>
      <c r="D69" s="42">
        <v>925</v>
      </c>
      <c r="E69" s="42"/>
      <c r="F69" s="42" t="s">
        <v>219</v>
      </c>
      <c r="G69" s="45" t="s">
        <v>219</v>
      </c>
      <c r="H69" s="37"/>
      <c r="I69" s="37">
        <v>209000</v>
      </c>
      <c r="J69" s="43">
        <f t="shared" si="7"/>
        <v>3550442</v>
      </c>
    </row>
    <row r="70" spans="2:16">
      <c r="B70" s="41">
        <v>46269</v>
      </c>
      <c r="C70" s="42">
        <v>60</v>
      </c>
      <c r="D70" s="42">
        <v>938</v>
      </c>
      <c r="E70" s="42"/>
      <c r="F70" s="42" t="s">
        <v>250</v>
      </c>
      <c r="G70" s="45" t="s">
        <v>720</v>
      </c>
      <c r="H70" s="37"/>
      <c r="I70" s="37">
        <v>208560</v>
      </c>
      <c r="J70" s="43">
        <f t="shared" si="7"/>
        <v>3341882</v>
      </c>
    </row>
    <row r="71" spans="2:16">
      <c r="B71" s="41">
        <v>46279</v>
      </c>
      <c r="C71" s="42">
        <v>61</v>
      </c>
      <c r="D71" s="42">
        <v>977</v>
      </c>
      <c r="E71" s="42"/>
      <c r="F71" s="42" t="s">
        <v>250</v>
      </c>
      <c r="G71" s="45" t="s">
        <v>250</v>
      </c>
      <c r="H71" s="37"/>
      <c r="I71" s="37">
        <v>211870</v>
      </c>
      <c r="J71" s="43">
        <f t="shared" si="7"/>
        <v>3130012</v>
      </c>
    </row>
    <row r="72" spans="2:16">
      <c r="B72" s="41">
        <v>46293</v>
      </c>
      <c r="C72" s="42">
        <v>65</v>
      </c>
      <c r="D72" s="42">
        <v>1031</v>
      </c>
      <c r="E72" s="79"/>
      <c r="F72" s="42" t="s">
        <v>242</v>
      </c>
      <c r="G72" s="45" t="s">
        <v>242</v>
      </c>
      <c r="H72" s="37"/>
      <c r="I72" s="37">
        <v>214200</v>
      </c>
      <c r="J72" s="43">
        <f t="shared" si="7"/>
        <v>2915812</v>
      </c>
    </row>
    <row r="73" spans="2:16">
      <c r="B73" s="41">
        <v>46294</v>
      </c>
      <c r="C73" s="42">
        <v>66</v>
      </c>
      <c r="D73" s="42">
        <v>1042</v>
      </c>
      <c r="E73" s="79"/>
      <c r="F73" s="42" t="s">
        <v>778</v>
      </c>
      <c r="G73" s="45" t="s">
        <v>778</v>
      </c>
      <c r="H73" s="37"/>
      <c r="I73" s="37">
        <v>42245</v>
      </c>
      <c r="J73" s="43">
        <f t="shared" si="7"/>
        <v>2873567</v>
      </c>
    </row>
    <row r="74" spans="2:16">
      <c r="B74" s="41"/>
      <c r="C74" s="42"/>
      <c r="D74" s="42"/>
      <c r="E74" s="42"/>
      <c r="F74" s="42"/>
      <c r="G74" s="45"/>
      <c r="H74" s="37"/>
      <c r="I74" s="37"/>
      <c r="J74" s="43">
        <f t="shared" si="7"/>
        <v>2873567</v>
      </c>
    </row>
    <row r="75" spans="2:16">
      <c r="B75" s="41"/>
      <c r="C75" s="42"/>
      <c r="D75" s="42"/>
      <c r="E75" s="42"/>
      <c r="F75" s="42"/>
      <c r="G75" s="45"/>
      <c r="H75" s="37"/>
      <c r="I75" s="37"/>
      <c r="J75" s="43">
        <f t="shared" si="7"/>
        <v>2873567</v>
      </c>
    </row>
    <row r="76" spans="2:16">
      <c r="B76" s="41"/>
      <c r="C76" s="42"/>
      <c r="D76" s="42"/>
      <c r="E76" s="42"/>
      <c r="F76" s="42"/>
      <c r="G76" s="45"/>
      <c r="H76" s="37"/>
      <c r="I76" s="37"/>
      <c r="J76" s="43">
        <f t="shared" si="7"/>
        <v>2873567</v>
      </c>
    </row>
    <row r="77" spans="2:16">
      <c r="B77" s="320" t="s">
        <v>132</v>
      </c>
      <c r="C77" s="321"/>
      <c r="D77" s="321"/>
      <c r="E77" s="321"/>
      <c r="F77" s="321"/>
      <c r="G77" s="321"/>
      <c r="H77" s="321"/>
      <c r="I77" s="321"/>
      <c r="J77" s="322"/>
    </row>
    <row r="78" spans="2:16">
      <c r="B78" s="41"/>
      <c r="C78" s="42"/>
      <c r="D78" s="42"/>
      <c r="E78" s="42"/>
      <c r="F78" s="42" t="s">
        <v>171</v>
      </c>
      <c r="G78" s="42" t="s">
        <v>171</v>
      </c>
      <c r="H78" s="37">
        <f>+SUBVENCION!U12+SUBVENCION!V12</f>
        <v>0</v>
      </c>
      <c r="I78" s="37"/>
      <c r="J78" s="43">
        <f>+J76+H78-I78</f>
        <v>2873567</v>
      </c>
      <c r="L78" s="97" t="s">
        <v>5</v>
      </c>
      <c r="M78" s="36" t="s">
        <v>214</v>
      </c>
      <c r="N78" s="97" t="s">
        <v>212</v>
      </c>
      <c r="O78" s="97" t="s">
        <v>213</v>
      </c>
      <c r="P78" s="97" t="s">
        <v>7</v>
      </c>
    </row>
    <row r="79" spans="2:16">
      <c r="B79" s="41"/>
      <c r="C79" s="42"/>
      <c r="D79" s="42"/>
      <c r="E79" s="42"/>
      <c r="F79" s="42" t="s">
        <v>199</v>
      </c>
      <c r="G79" s="42" t="s">
        <v>199</v>
      </c>
      <c r="H79" s="37"/>
      <c r="I79" s="37"/>
      <c r="J79" s="43">
        <f t="shared" si="7"/>
        <v>2873567</v>
      </c>
      <c r="L79" s="115">
        <f>H78</f>
        <v>0</v>
      </c>
      <c r="M79" s="101">
        <f>L79*10%</f>
        <v>0</v>
      </c>
      <c r="N79" s="115">
        <f>I79</f>
        <v>0</v>
      </c>
      <c r="O79" s="115">
        <f>SUM(I80:I86)</f>
        <v>0</v>
      </c>
      <c r="P79" s="115">
        <f>L79-M79-N79-O79</f>
        <v>0</v>
      </c>
    </row>
    <row r="80" spans="2:16">
      <c r="B80" s="41"/>
      <c r="C80" s="42"/>
      <c r="D80" s="42"/>
      <c r="E80" s="42"/>
      <c r="F80" s="42"/>
      <c r="G80" s="42"/>
      <c r="H80" s="37"/>
      <c r="I80" s="37"/>
      <c r="J80" s="43">
        <f t="shared" si="7"/>
        <v>2873567</v>
      </c>
    </row>
    <row r="81" spans="1:23">
      <c r="B81" s="41"/>
      <c r="C81" s="42"/>
      <c r="D81" s="42"/>
      <c r="E81" s="42"/>
      <c r="F81" s="42"/>
      <c r="G81" s="42"/>
      <c r="H81" s="37"/>
      <c r="I81" s="37"/>
      <c r="J81" s="43">
        <f t="shared" si="7"/>
        <v>2873567</v>
      </c>
    </row>
    <row r="82" spans="1:23">
      <c r="B82" s="41"/>
      <c r="C82" s="42"/>
      <c r="D82" s="42"/>
      <c r="E82" s="42"/>
      <c r="F82" s="42"/>
      <c r="G82" s="42"/>
      <c r="H82" s="37"/>
      <c r="I82" s="37"/>
      <c r="J82" s="43">
        <f t="shared" si="7"/>
        <v>2873567</v>
      </c>
    </row>
    <row r="83" spans="1:23">
      <c r="B83" s="41"/>
      <c r="C83" s="42"/>
      <c r="D83" s="42"/>
      <c r="E83" s="42"/>
      <c r="F83" s="42"/>
      <c r="G83" s="42"/>
      <c r="H83" s="37"/>
      <c r="I83" s="37"/>
      <c r="J83" s="43">
        <f t="shared" si="7"/>
        <v>2873567</v>
      </c>
    </row>
    <row r="84" spans="1:23">
      <c r="B84" s="41"/>
      <c r="C84" s="42"/>
      <c r="D84" s="42"/>
      <c r="E84" s="42"/>
      <c r="F84" s="42"/>
      <c r="G84" s="42"/>
      <c r="H84" s="37"/>
      <c r="I84" s="37"/>
      <c r="J84" s="43">
        <f t="shared" si="7"/>
        <v>2873567</v>
      </c>
    </row>
    <row r="85" spans="1:23">
      <c r="B85" s="41"/>
      <c r="C85" s="42"/>
      <c r="D85" s="42"/>
      <c r="E85" s="42"/>
      <c r="F85" s="42"/>
      <c r="G85" s="42"/>
      <c r="H85" s="37"/>
      <c r="I85" s="37"/>
      <c r="J85" s="43">
        <f t="shared" si="7"/>
        <v>2873567</v>
      </c>
    </row>
    <row r="86" spans="1:23">
      <c r="B86" s="41"/>
      <c r="C86" s="42"/>
      <c r="D86" s="42"/>
      <c r="E86" s="42"/>
      <c r="F86" s="42"/>
      <c r="G86" s="42"/>
      <c r="H86" s="37"/>
      <c r="I86" s="37"/>
      <c r="J86" s="43">
        <f t="shared" si="7"/>
        <v>2873567</v>
      </c>
    </row>
    <row r="87" spans="1:23">
      <c r="B87" s="41"/>
      <c r="C87" s="42"/>
      <c r="D87" s="42"/>
      <c r="E87" s="42"/>
      <c r="F87" s="42"/>
      <c r="G87" s="42"/>
      <c r="H87" s="37"/>
      <c r="I87" s="37"/>
      <c r="J87" s="43">
        <f t="shared" si="7"/>
        <v>2873567</v>
      </c>
    </row>
    <row r="88" spans="1:23">
      <c r="B88" s="170"/>
      <c r="C88" s="171"/>
      <c r="D88" s="171"/>
      <c r="E88" s="171"/>
      <c r="F88" s="171"/>
      <c r="G88" s="171"/>
      <c r="H88" s="172"/>
      <c r="I88" s="172"/>
      <c r="J88" s="173"/>
    </row>
    <row r="89" spans="1:23">
      <c r="B89" s="320" t="s">
        <v>133</v>
      </c>
      <c r="C89" s="321"/>
      <c r="D89" s="321"/>
      <c r="E89" s="321"/>
      <c r="F89" s="321"/>
      <c r="G89" s="321"/>
      <c r="H89" s="321"/>
      <c r="I89" s="321"/>
      <c r="J89" s="322"/>
    </row>
    <row r="90" spans="1:23">
      <c r="B90" s="41"/>
      <c r="C90" s="42"/>
      <c r="D90" s="42"/>
      <c r="E90" s="42"/>
      <c r="F90" s="42" t="s">
        <v>171</v>
      </c>
      <c r="G90" s="42" t="s">
        <v>171</v>
      </c>
      <c r="H90" s="37">
        <f>+SUBVENCION!W12+SUBVENCION!X12</f>
        <v>0</v>
      </c>
      <c r="I90" s="37"/>
      <c r="J90" s="43">
        <f>+J87+H90-I90</f>
        <v>2873567</v>
      </c>
      <c r="L90" s="97" t="s">
        <v>5</v>
      </c>
      <c r="M90" s="36" t="s">
        <v>214</v>
      </c>
      <c r="N90" s="97" t="s">
        <v>212</v>
      </c>
      <c r="O90" s="97" t="s">
        <v>213</v>
      </c>
      <c r="P90" s="97" t="s">
        <v>7</v>
      </c>
    </row>
    <row r="91" spans="1:23">
      <c r="B91" s="41"/>
      <c r="C91" s="42"/>
      <c r="D91" s="42"/>
      <c r="E91" s="42"/>
      <c r="F91" s="42" t="s">
        <v>199</v>
      </c>
      <c r="G91" s="42" t="s">
        <v>199</v>
      </c>
      <c r="H91" s="37"/>
      <c r="I91" s="37"/>
      <c r="J91" s="43">
        <f t="shared" si="7"/>
        <v>2873567</v>
      </c>
      <c r="L91" s="115">
        <f>H90</f>
        <v>0</v>
      </c>
      <c r="M91" s="101">
        <f>L91*10%</f>
        <v>0</v>
      </c>
      <c r="N91" s="115">
        <f>I91</f>
        <v>0</v>
      </c>
      <c r="O91" s="115">
        <v>0</v>
      </c>
      <c r="P91" s="115">
        <f>L91-M91-N91-O91</f>
        <v>0</v>
      </c>
    </row>
    <row r="92" spans="1:23">
      <c r="A92" s="35"/>
      <c r="B92" s="41"/>
      <c r="C92" s="42"/>
      <c r="D92" s="42"/>
      <c r="E92" s="42"/>
      <c r="F92" s="42"/>
      <c r="G92" s="42"/>
      <c r="H92" s="37"/>
      <c r="I92" s="37"/>
      <c r="J92" s="43">
        <f t="shared" si="7"/>
        <v>2873567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</row>
    <row r="93" spans="1:23">
      <c r="A93" s="35"/>
      <c r="B93" s="41"/>
      <c r="C93" s="42"/>
      <c r="D93" s="42"/>
      <c r="E93" s="42"/>
      <c r="F93" s="42"/>
      <c r="G93" s="42"/>
      <c r="H93" s="37"/>
      <c r="I93" s="37"/>
      <c r="J93" s="43">
        <f t="shared" si="7"/>
        <v>2873567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</row>
    <row r="94" spans="1:23">
      <c r="A94" s="35"/>
      <c r="B94" s="41"/>
      <c r="C94" s="42"/>
      <c r="D94" s="42"/>
      <c r="E94" s="42"/>
      <c r="F94" s="42"/>
      <c r="G94" s="45"/>
      <c r="H94" s="37"/>
      <c r="I94" s="37"/>
      <c r="J94" s="43">
        <f t="shared" si="7"/>
        <v>2873567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</row>
    <row r="95" spans="1:23">
      <c r="A95" s="35"/>
      <c r="B95" s="41"/>
      <c r="C95" s="42"/>
      <c r="D95" s="42"/>
      <c r="E95" s="42"/>
      <c r="F95" s="42"/>
      <c r="G95" s="45"/>
      <c r="H95" s="37"/>
      <c r="I95" s="37"/>
      <c r="J95" s="43">
        <f t="shared" si="7"/>
        <v>2873567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</row>
    <row r="96" spans="1:23">
      <c r="A96" s="35"/>
      <c r="B96" s="41"/>
      <c r="C96" s="42"/>
      <c r="D96" s="42"/>
      <c r="E96" s="42"/>
      <c r="F96" s="42"/>
      <c r="G96" s="45"/>
      <c r="H96" s="37"/>
      <c r="I96" s="37"/>
      <c r="J96" s="43">
        <f t="shared" si="7"/>
        <v>2873567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</row>
    <row r="97" spans="1:23">
      <c r="A97" s="35"/>
      <c r="B97" s="41"/>
      <c r="C97" s="42"/>
      <c r="D97" s="42"/>
      <c r="E97" s="42"/>
      <c r="F97" s="42"/>
      <c r="G97" s="45"/>
      <c r="H97" s="37"/>
      <c r="I97" s="37"/>
      <c r="J97" s="43">
        <f t="shared" si="7"/>
        <v>2873567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</row>
    <row r="98" spans="1:23">
      <c r="A98" s="35"/>
      <c r="B98" s="41"/>
      <c r="C98" s="42"/>
      <c r="D98" s="42"/>
      <c r="E98" s="42"/>
      <c r="F98" s="42"/>
      <c r="G98" s="42"/>
      <c r="H98" s="37"/>
      <c r="I98" s="37"/>
      <c r="J98" s="43">
        <f t="shared" si="7"/>
        <v>2873567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</row>
    <row r="99" spans="1:23">
      <c r="A99" s="35"/>
      <c r="B99" s="41"/>
      <c r="C99" s="42"/>
      <c r="D99" s="42"/>
      <c r="E99" s="42"/>
      <c r="F99" s="42"/>
      <c r="G99" s="42"/>
      <c r="H99" s="37"/>
      <c r="I99" s="37"/>
      <c r="J99" s="43">
        <f t="shared" si="7"/>
        <v>2873567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</row>
    <row r="100" spans="1:23">
      <c r="A100" s="35"/>
      <c r="B100" s="41"/>
      <c r="C100" s="42"/>
      <c r="D100" s="42"/>
      <c r="E100" s="42"/>
      <c r="F100" s="42"/>
      <c r="G100" s="42"/>
      <c r="H100" s="37"/>
      <c r="I100" s="37"/>
      <c r="J100" s="43">
        <f t="shared" si="7"/>
        <v>2873567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</row>
    <row r="101" spans="1:23">
      <c r="A101" s="35"/>
      <c r="B101" s="41"/>
      <c r="C101" s="42"/>
      <c r="D101" s="42"/>
      <c r="E101" s="42"/>
      <c r="F101" s="42"/>
      <c r="G101" s="42"/>
      <c r="H101" s="37"/>
      <c r="I101" s="37"/>
      <c r="J101" s="43">
        <f t="shared" si="7"/>
        <v>2873567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</row>
    <row r="102" spans="1:23">
      <c r="A102" s="35"/>
      <c r="B102" s="41"/>
      <c r="C102" s="42"/>
      <c r="D102" s="42"/>
      <c r="E102" s="42"/>
      <c r="F102" s="42"/>
      <c r="G102" s="42"/>
      <c r="H102" s="37"/>
      <c r="I102" s="37"/>
      <c r="J102" s="43">
        <f t="shared" si="7"/>
        <v>2873567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</row>
    <row r="103" spans="1:23">
      <c r="A103" s="35"/>
      <c r="B103" s="41"/>
      <c r="C103" s="42"/>
      <c r="D103" s="42"/>
      <c r="E103" s="42"/>
      <c r="F103" s="42"/>
      <c r="G103" s="42"/>
      <c r="H103" s="37"/>
      <c r="I103" s="37"/>
      <c r="J103" s="43">
        <f t="shared" si="7"/>
        <v>2873567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</row>
    <row r="104" spans="1:23">
      <c r="A104" s="35"/>
      <c r="B104" s="41"/>
      <c r="C104" s="42"/>
      <c r="D104" s="42"/>
      <c r="E104" s="42"/>
      <c r="F104" s="42"/>
      <c r="G104" s="42"/>
      <c r="H104" s="37"/>
      <c r="I104" s="37"/>
      <c r="J104" s="43">
        <f t="shared" si="7"/>
        <v>2873567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</row>
    <row r="105" spans="1:23">
      <c r="A105" s="35"/>
      <c r="B105" s="41"/>
      <c r="C105" s="42"/>
      <c r="D105" s="42"/>
      <c r="E105" s="42"/>
      <c r="F105" s="42"/>
      <c r="G105" s="45"/>
      <c r="H105" s="37"/>
      <c r="I105" s="37"/>
      <c r="J105" s="43">
        <f t="shared" si="7"/>
        <v>2873567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</row>
    <row r="106" spans="1:23">
      <c r="A106" s="35"/>
      <c r="B106" s="41"/>
      <c r="C106" s="42"/>
      <c r="D106" s="42"/>
      <c r="E106" s="42"/>
      <c r="F106" s="42"/>
      <c r="G106" s="45"/>
      <c r="H106" s="37"/>
      <c r="I106" s="37"/>
      <c r="J106" s="43">
        <f t="shared" si="7"/>
        <v>2873567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</row>
    <row r="107" spans="1:23">
      <c r="A107" s="35"/>
      <c r="B107" s="41"/>
      <c r="C107" s="42"/>
      <c r="D107" s="42"/>
      <c r="E107" s="42"/>
      <c r="F107" s="42"/>
      <c r="G107" s="45"/>
      <c r="H107" s="37"/>
      <c r="I107" s="37"/>
      <c r="J107" s="43">
        <f t="shared" si="7"/>
        <v>2873567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</row>
    <row r="108" spans="1:23">
      <c r="A108" s="35"/>
      <c r="B108" s="41"/>
      <c r="C108" s="42"/>
      <c r="D108" s="42"/>
      <c r="E108" s="42"/>
      <c r="F108" s="42"/>
      <c r="G108" s="45"/>
      <c r="H108" s="37"/>
      <c r="I108" s="37"/>
      <c r="J108" s="43">
        <f t="shared" si="7"/>
        <v>2873567</v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</row>
    <row r="109" spans="1:23">
      <c r="A109" s="35"/>
      <c r="B109" s="41"/>
      <c r="C109" s="42"/>
      <c r="D109" s="42"/>
      <c r="E109" s="42"/>
      <c r="F109" s="42"/>
      <c r="G109" s="45"/>
      <c r="H109" s="37"/>
      <c r="I109" s="37"/>
      <c r="J109" s="43">
        <f t="shared" si="7"/>
        <v>2873567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</row>
    <row r="110" spans="1:23">
      <c r="A110" s="35"/>
      <c r="B110" s="41"/>
      <c r="C110" s="42"/>
      <c r="D110" s="42"/>
      <c r="E110" s="42"/>
      <c r="F110" s="42"/>
      <c r="G110" s="45"/>
      <c r="H110" s="37"/>
      <c r="I110" s="37"/>
      <c r="J110" s="43">
        <f t="shared" si="7"/>
        <v>2873567</v>
      </c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</row>
    <row r="111" spans="1:23">
      <c r="A111" s="35"/>
      <c r="B111" s="41"/>
      <c r="C111" s="42"/>
      <c r="D111" s="42"/>
      <c r="E111" s="42"/>
      <c r="F111" s="42"/>
      <c r="G111" s="45"/>
      <c r="H111" s="37"/>
      <c r="I111" s="37"/>
      <c r="J111" s="43">
        <f t="shared" si="7"/>
        <v>2873567</v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</row>
    <row r="112" spans="1:23">
      <c r="A112" s="35"/>
      <c r="B112" s="320" t="s">
        <v>134</v>
      </c>
      <c r="C112" s="321"/>
      <c r="D112" s="321"/>
      <c r="E112" s="321"/>
      <c r="F112" s="321"/>
      <c r="G112" s="321"/>
      <c r="H112" s="321"/>
      <c r="I112" s="321"/>
      <c r="J112" s="322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</row>
    <row r="113" spans="1:23">
      <c r="A113" s="35"/>
      <c r="B113" s="41"/>
      <c r="C113" s="42"/>
      <c r="D113" s="42"/>
      <c r="E113" s="42"/>
      <c r="F113" s="42" t="s">
        <v>171</v>
      </c>
      <c r="G113" s="42" t="s">
        <v>171</v>
      </c>
      <c r="H113" s="37">
        <f>+SUBVENCION!Y12+SUBVENCION!Z12</f>
        <v>0</v>
      </c>
      <c r="I113" s="37"/>
      <c r="J113" s="43">
        <f>+J111+H113-I113</f>
        <v>2873567</v>
      </c>
      <c r="K113" s="35"/>
      <c r="L113" s="97" t="s">
        <v>5</v>
      </c>
      <c r="M113" s="36" t="s">
        <v>214</v>
      </c>
      <c r="N113" s="97" t="s">
        <v>212</v>
      </c>
      <c r="O113" s="97" t="s">
        <v>213</v>
      </c>
      <c r="P113" s="97" t="s">
        <v>7</v>
      </c>
      <c r="Q113" s="35"/>
      <c r="R113" s="35"/>
      <c r="S113" s="35"/>
      <c r="T113" s="35"/>
      <c r="U113" s="35"/>
      <c r="V113" s="35"/>
      <c r="W113" s="35"/>
    </row>
    <row r="114" spans="1:23">
      <c r="A114" s="35"/>
      <c r="B114" s="41"/>
      <c r="C114" s="42"/>
      <c r="D114" s="42"/>
      <c r="E114" s="42"/>
      <c r="F114" s="42" t="s">
        <v>199</v>
      </c>
      <c r="G114" s="42" t="s">
        <v>199</v>
      </c>
      <c r="H114" s="37"/>
      <c r="I114" s="37"/>
      <c r="J114" s="43">
        <f t="shared" si="7"/>
        <v>2873567</v>
      </c>
      <c r="K114" s="35"/>
      <c r="L114" s="115">
        <f>H113</f>
        <v>0</v>
      </c>
      <c r="M114" s="101">
        <f>L114*10%</f>
        <v>0</v>
      </c>
      <c r="N114" s="115">
        <f>I114</f>
        <v>0</v>
      </c>
      <c r="O114" s="115"/>
      <c r="P114" s="115">
        <f>L114-M114-N114-O114</f>
        <v>0</v>
      </c>
      <c r="Q114" s="35"/>
      <c r="R114" s="35"/>
      <c r="S114" s="35"/>
      <c r="T114" s="35"/>
      <c r="U114" s="35"/>
      <c r="V114" s="35"/>
      <c r="W114" s="35"/>
    </row>
    <row r="115" spans="1:23">
      <c r="A115" s="35"/>
      <c r="B115" s="41"/>
      <c r="C115" s="42"/>
      <c r="D115" s="42"/>
      <c r="E115" s="42"/>
      <c r="F115" s="42"/>
      <c r="G115" s="42"/>
      <c r="H115" s="37"/>
      <c r="I115" s="37"/>
      <c r="J115" s="43">
        <f t="shared" si="7"/>
        <v>2873567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</row>
    <row r="116" spans="1:23">
      <c r="A116" s="35"/>
      <c r="B116" s="41"/>
      <c r="C116" s="42"/>
      <c r="D116" s="42"/>
      <c r="E116" s="42"/>
      <c r="F116" s="42"/>
      <c r="G116" s="42"/>
      <c r="H116" s="37"/>
      <c r="I116" s="37"/>
      <c r="J116" s="43">
        <f t="shared" si="7"/>
        <v>2873567</v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</row>
    <row r="117" spans="1:23">
      <c r="A117" s="35"/>
      <c r="B117" s="41"/>
      <c r="C117" s="42"/>
      <c r="D117" s="42"/>
      <c r="E117" s="42"/>
      <c r="F117" s="42"/>
      <c r="G117" s="42"/>
      <c r="H117" s="37"/>
      <c r="I117" s="37"/>
      <c r="J117" s="43">
        <f t="shared" si="7"/>
        <v>2873567</v>
      </c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</row>
    <row r="118" spans="1:23">
      <c r="A118" s="35"/>
      <c r="B118" s="41"/>
      <c r="C118" s="42"/>
      <c r="D118" s="42"/>
      <c r="E118" s="42"/>
      <c r="F118" s="42"/>
      <c r="G118" s="42"/>
      <c r="H118" s="37"/>
      <c r="I118" s="37"/>
      <c r="J118" s="43">
        <f t="shared" si="7"/>
        <v>2873567</v>
      </c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</row>
    <row r="119" spans="1:23">
      <c r="A119" s="35"/>
      <c r="B119" s="41"/>
      <c r="C119" s="42"/>
      <c r="D119" s="42"/>
      <c r="E119" s="42"/>
      <c r="F119" s="42"/>
      <c r="G119" s="45"/>
      <c r="H119" s="37"/>
      <c r="I119" s="37"/>
      <c r="J119" s="43">
        <f t="shared" si="7"/>
        <v>2873567</v>
      </c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</row>
    <row r="120" spans="1:23">
      <c r="A120" s="35"/>
      <c r="B120" s="41"/>
      <c r="C120" s="42"/>
      <c r="D120" s="42"/>
      <c r="E120" s="42"/>
      <c r="F120" s="42"/>
      <c r="G120" s="45"/>
      <c r="H120" s="37"/>
      <c r="I120" s="37"/>
      <c r="J120" s="43">
        <f t="shared" si="7"/>
        <v>2873567</v>
      </c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</row>
    <row r="121" spans="1:23">
      <c r="A121" s="35"/>
      <c r="B121" s="41"/>
      <c r="C121" s="42"/>
      <c r="D121" s="42"/>
      <c r="E121" s="42"/>
      <c r="F121" s="42"/>
      <c r="G121" s="45"/>
      <c r="H121" s="37"/>
      <c r="I121" s="37"/>
      <c r="J121" s="43">
        <f t="shared" si="7"/>
        <v>2873567</v>
      </c>
      <c r="K121" s="35"/>
      <c r="R121" s="35"/>
      <c r="S121" s="35"/>
      <c r="T121" s="35"/>
      <c r="U121" s="35"/>
      <c r="V121" s="35"/>
      <c r="W121" s="35"/>
    </row>
    <row r="122" spans="1:23">
      <c r="A122" s="35"/>
      <c r="B122" s="41"/>
      <c r="C122" s="42"/>
      <c r="D122" s="42"/>
      <c r="E122" s="42"/>
      <c r="F122" s="42" t="s">
        <v>135</v>
      </c>
      <c r="G122" s="45" t="s">
        <v>135</v>
      </c>
      <c r="H122" s="37">
        <f>(H11+H16+H19+H26+H35+H42+H49+H57+H66+H78+H90+H113)*-10%</f>
        <v>-5949586.5</v>
      </c>
      <c r="I122" s="37"/>
      <c r="J122" s="43">
        <f t="shared" si="7"/>
        <v>-3076019.5</v>
      </c>
      <c r="K122" s="35"/>
      <c r="R122" s="35"/>
      <c r="S122" s="35"/>
      <c r="T122" s="35"/>
      <c r="U122" s="35"/>
      <c r="V122" s="35"/>
      <c r="W122" s="35"/>
    </row>
    <row r="123" spans="1:23">
      <c r="A123" s="48"/>
      <c r="B123" s="46" t="s">
        <v>8</v>
      </c>
      <c r="C123" s="97" t="s">
        <v>8</v>
      </c>
      <c r="D123" s="97"/>
      <c r="E123" s="97"/>
      <c r="F123" s="97"/>
      <c r="G123" s="97" t="s">
        <v>9</v>
      </c>
      <c r="H123" s="38">
        <f>SUM(H9:H122)</f>
        <v>58864264.5</v>
      </c>
      <c r="I123" s="38">
        <f>SUM(I12:I122)</f>
        <v>61940284</v>
      </c>
      <c r="J123" s="38">
        <f>+H123-I123</f>
        <v>-3076019.5</v>
      </c>
      <c r="K123" s="48"/>
      <c r="R123" s="48"/>
      <c r="S123" s="48"/>
      <c r="T123" s="48"/>
      <c r="U123" s="48"/>
      <c r="V123" s="48"/>
      <c r="W123" s="48"/>
    </row>
    <row r="128" spans="1:23">
      <c r="G128" s="44" t="s">
        <v>210</v>
      </c>
      <c r="H128" s="97" t="s">
        <v>5</v>
      </c>
      <c r="I128" s="97" t="s">
        <v>6</v>
      </c>
      <c r="J128" s="97" t="s">
        <v>198</v>
      </c>
    </row>
    <row r="129" spans="8:10">
      <c r="H129" s="144">
        <f>+H123</f>
        <v>58864264.5</v>
      </c>
      <c r="I129" s="43">
        <f>+I123</f>
        <v>61940284</v>
      </c>
      <c r="J129" s="143">
        <f>+I129*100/H129</f>
        <v>105.22561443029667</v>
      </c>
    </row>
  </sheetData>
  <mergeCells count="18">
    <mergeCell ref="B112:J112"/>
    <mergeCell ref="B89:J89"/>
    <mergeCell ref="B34:J34"/>
    <mergeCell ref="B7:J7"/>
    <mergeCell ref="B25:J25"/>
    <mergeCell ref="B18:J18"/>
    <mergeCell ref="B15:J15"/>
    <mergeCell ref="B10:J10"/>
    <mergeCell ref="B77:J77"/>
    <mergeCell ref="B65:J65"/>
    <mergeCell ref="B56:J56"/>
    <mergeCell ref="B48:J48"/>
    <mergeCell ref="B41:J41"/>
    <mergeCell ref="B2:J2"/>
    <mergeCell ref="B3:J3"/>
    <mergeCell ref="B4:J4"/>
    <mergeCell ref="B5:J5"/>
    <mergeCell ref="B6:J6"/>
  </mergeCells>
  <conditionalFormatting sqref="B34 H49:J55 H57:J64 H113:J127 H130:J1048576">
    <cfRule type="cellIs" dxfId="81" priority="9" operator="lessThan">
      <formula>0</formula>
    </cfRule>
  </conditionalFormatting>
  <conditionalFormatting sqref="B41">
    <cfRule type="cellIs" dxfId="80" priority="8" operator="lessThan">
      <formula>0</formula>
    </cfRule>
  </conditionalFormatting>
  <conditionalFormatting sqref="B48">
    <cfRule type="cellIs" dxfId="79" priority="7" operator="lessThan">
      <formula>0</formula>
    </cfRule>
  </conditionalFormatting>
  <conditionalFormatting sqref="H1:J33">
    <cfRule type="cellIs" dxfId="78" priority="1" operator="lessThan">
      <formula>0</formula>
    </cfRule>
  </conditionalFormatting>
  <conditionalFormatting sqref="H35:J40">
    <cfRule type="cellIs" dxfId="77" priority="2" operator="lessThan">
      <formula>0</formula>
    </cfRule>
  </conditionalFormatting>
  <conditionalFormatting sqref="H42:J47">
    <cfRule type="cellIs" dxfId="76" priority="3" operator="lessThan">
      <formula>0</formula>
    </cfRule>
  </conditionalFormatting>
  <conditionalFormatting sqref="H66:J76 H78:J88">
    <cfRule type="cellIs" dxfId="75" priority="6" operator="lessThan">
      <formula>0</formula>
    </cfRule>
  </conditionalFormatting>
  <conditionalFormatting sqref="H90:J111">
    <cfRule type="cellIs" dxfId="74" priority="4" operator="lessThan">
      <formula>0</formula>
    </cfRule>
  </conditionalFormatting>
  <pageMargins left="0.7" right="0.7" top="0.75" bottom="0.75" header="0.3" footer="0.3"/>
  <pageSetup paperSize="14" scale="29" fitToHeight="0" orientation="portrait" r:id="rId1"/>
  <ignoredErrors>
    <ignoredError sqref="O7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98"/>
  <sheetViews>
    <sheetView topLeftCell="A52" zoomScaleNormal="100" workbookViewId="0">
      <selection activeCell="O56" sqref="O56"/>
    </sheetView>
  </sheetViews>
  <sheetFormatPr baseColWidth="10" defaultRowHeight="11.25"/>
  <cols>
    <col min="1" max="1" width="11.42578125" style="39"/>
    <col min="2" max="2" width="10.5703125" style="39" bestFit="1" customWidth="1"/>
    <col min="3" max="3" width="11.42578125" style="39"/>
    <col min="4" max="4" width="13.5703125" style="39" bestFit="1" customWidth="1"/>
    <col min="5" max="5" width="11.42578125" style="39"/>
    <col min="6" max="6" width="25.7109375" style="39" bestFit="1" customWidth="1"/>
    <col min="7" max="7" width="35.7109375" style="39" customWidth="1"/>
    <col min="8" max="9" width="11.42578125" style="39"/>
    <col min="10" max="10" width="11.7109375" style="39" bestFit="1" customWidth="1"/>
    <col min="11" max="16384" width="11.42578125" style="39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6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</row>
    <row r="3" spans="1:16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</row>
    <row r="4" spans="1:16">
      <c r="A4" s="35"/>
      <c r="B4" s="335" t="s">
        <v>107</v>
      </c>
      <c r="C4" s="336"/>
      <c r="D4" s="336"/>
      <c r="E4" s="336"/>
      <c r="F4" s="336"/>
      <c r="G4" s="336"/>
      <c r="H4" s="336"/>
      <c r="I4" s="336"/>
      <c r="J4" s="337"/>
    </row>
    <row r="5" spans="1:16">
      <c r="A5" s="35"/>
      <c r="B5" s="335" t="s">
        <v>233</v>
      </c>
      <c r="C5" s="336"/>
      <c r="D5" s="336"/>
      <c r="E5" s="336"/>
      <c r="F5" s="336"/>
      <c r="G5" s="336"/>
      <c r="H5" s="336"/>
      <c r="I5" s="336"/>
      <c r="J5" s="337"/>
    </row>
    <row r="6" spans="1:16">
      <c r="A6" s="35"/>
      <c r="B6" s="335" t="s">
        <v>106</v>
      </c>
      <c r="C6" s="336"/>
      <c r="D6" s="336"/>
      <c r="E6" s="336"/>
      <c r="F6" s="336"/>
      <c r="G6" s="336"/>
      <c r="H6" s="336"/>
      <c r="I6" s="336"/>
      <c r="J6" s="337"/>
    </row>
    <row r="7" spans="1:16">
      <c r="A7" s="35"/>
      <c r="B7" s="335" t="s">
        <v>74</v>
      </c>
      <c r="C7" s="336"/>
      <c r="D7" s="336"/>
      <c r="E7" s="336"/>
      <c r="F7" s="336"/>
      <c r="G7" s="336"/>
      <c r="H7" s="336"/>
      <c r="I7" s="336"/>
      <c r="J7" s="337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 s="119" customFormat="1">
      <c r="A9" s="85"/>
      <c r="B9" s="41"/>
      <c r="C9" s="42"/>
      <c r="D9" s="42"/>
      <c r="E9" s="42"/>
      <c r="F9" s="42"/>
      <c r="G9" s="42" t="s">
        <v>237</v>
      </c>
      <c r="H9" s="52">
        <v>-830673</v>
      </c>
      <c r="I9" s="82"/>
      <c r="J9" s="116">
        <f>+H9-I9</f>
        <v>-830673</v>
      </c>
    </row>
    <row r="10" spans="1:16" s="120" customFormat="1">
      <c r="A10" s="117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</row>
    <row r="11" spans="1:16">
      <c r="A11" s="35"/>
      <c r="B11" s="41"/>
      <c r="C11" s="42"/>
      <c r="D11" s="42"/>
      <c r="E11" s="42"/>
      <c r="F11" s="42" t="s">
        <v>171</v>
      </c>
      <c r="G11" s="42" t="s">
        <v>171</v>
      </c>
      <c r="H11" s="37">
        <f>SUBVENCION!C13+SUBVENCION!D13</f>
        <v>11036677</v>
      </c>
      <c r="I11" s="37"/>
      <c r="J11" s="51">
        <f>H11-I11</f>
        <v>11036677</v>
      </c>
      <c r="L11" s="97" t="s">
        <v>5</v>
      </c>
      <c r="M11" s="36" t="s">
        <v>214</v>
      </c>
      <c r="N11" s="97" t="s">
        <v>212</v>
      </c>
      <c r="O11" s="97" t="s">
        <v>213</v>
      </c>
      <c r="P11" s="97" t="s">
        <v>7</v>
      </c>
    </row>
    <row r="12" spans="1:16">
      <c r="A12" s="35"/>
      <c r="B12" s="41"/>
      <c r="C12" s="42"/>
      <c r="D12" s="42"/>
      <c r="E12" s="42"/>
      <c r="F12" s="42" t="s">
        <v>199</v>
      </c>
      <c r="G12" s="42" t="s">
        <v>199</v>
      </c>
      <c r="H12" s="37"/>
      <c r="I12" s="37">
        <v>9911711</v>
      </c>
      <c r="J12" s="51">
        <f>+J11+H12-I12</f>
        <v>1124966</v>
      </c>
      <c r="L12" s="115">
        <f>H11</f>
        <v>11036677</v>
      </c>
      <c r="M12" s="101">
        <f>L12*10%</f>
        <v>1103667.7</v>
      </c>
      <c r="N12" s="115">
        <f>I12</f>
        <v>9911711</v>
      </c>
      <c r="O12" s="115">
        <f>I13</f>
        <v>26523</v>
      </c>
      <c r="P12" s="115">
        <f>L12-M12-N12-O12</f>
        <v>-5224.6999999992549</v>
      </c>
    </row>
    <row r="13" spans="1:16">
      <c r="A13" s="35"/>
      <c r="B13" s="41"/>
      <c r="C13" s="42"/>
      <c r="D13" s="42"/>
      <c r="E13" s="55">
        <v>12</v>
      </c>
      <c r="F13" s="55" t="s">
        <v>327</v>
      </c>
      <c r="G13" s="55" t="s">
        <v>327</v>
      </c>
      <c r="H13" s="226"/>
      <c r="I13" s="226">
        <v>26523</v>
      </c>
      <c r="J13" s="51">
        <f t="shared" ref="J13:J14" si="0">+J12+H13-I13</f>
        <v>1098443</v>
      </c>
    </row>
    <row r="14" spans="1:16">
      <c r="A14" s="35"/>
      <c r="B14" s="41"/>
      <c r="C14" s="42"/>
      <c r="D14" s="42"/>
      <c r="E14" s="42"/>
      <c r="F14" s="42"/>
      <c r="G14" s="45"/>
      <c r="H14" s="37"/>
      <c r="I14" s="37"/>
      <c r="J14" s="51">
        <f t="shared" si="0"/>
        <v>1098443</v>
      </c>
    </row>
    <row r="15" spans="1:16" s="121" customFormat="1">
      <c r="A15" s="48"/>
      <c r="B15" s="367" t="s">
        <v>67</v>
      </c>
      <c r="C15" s="367"/>
      <c r="D15" s="367"/>
      <c r="E15" s="367"/>
      <c r="F15" s="367"/>
      <c r="G15" s="367"/>
      <c r="H15" s="367"/>
      <c r="I15" s="367"/>
      <c r="J15" s="367"/>
    </row>
    <row r="16" spans="1:16">
      <c r="A16" s="35"/>
      <c r="B16" s="41"/>
      <c r="C16" s="42"/>
      <c r="D16" s="42"/>
      <c r="E16" s="42"/>
      <c r="F16" s="42" t="s">
        <v>171</v>
      </c>
      <c r="G16" s="42" t="s">
        <v>171</v>
      </c>
      <c r="H16" s="37">
        <f>SUBVENCION!E13+SUBVENCION!F13</f>
        <v>11699154</v>
      </c>
      <c r="I16" s="37"/>
      <c r="J16" s="43">
        <f>+J14+H16-I16</f>
        <v>12797597</v>
      </c>
      <c r="L16" s="97" t="s">
        <v>5</v>
      </c>
      <c r="M16" s="36" t="s">
        <v>214</v>
      </c>
      <c r="N16" s="97" t="s">
        <v>212</v>
      </c>
      <c r="O16" s="97" t="s">
        <v>213</v>
      </c>
      <c r="P16" s="97" t="s">
        <v>7</v>
      </c>
    </row>
    <row r="17" spans="1:16">
      <c r="A17" s="35"/>
      <c r="B17" s="41"/>
      <c r="C17" s="42"/>
      <c r="D17" s="42"/>
      <c r="E17" s="42"/>
      <c r="F17" s="42" t="s">
        <v>199</v>
      </c>
      <c r="G17" s="42" t="s">
        <v>199</v>
      </c>
      <c r="H17" s="37"/>
      <c r="I17" s="37">
        <v>10817066</v>
      </c>
      <c r="J17" s="43">
        <f>+J16+H17-I17</f>
        <v>1980531</v>
      </c>
      <c r="L17" s="115">
        <f>H16</f>
        <v>11699154</v>
      </c>
      <c r="M17" s="101">
        <f>L17*10%</f>
        <v>1169915.4000000001</v>
      </c>
      <c r="N17" s="115">
        <f>I17</f>
        <v>10817066</v>
      </c>
      <c r="O17" s="115">
        <f>I18</f>
        <v>26522</v>
      </c>
      <c r="P17" s="115">
        <f>L17-M17-N17-O17</f>
        <v>-314349.40000000037</v>
      </c>
    </row>
    <row r="18" spans="1:16">
      <c r="A18" s="35"/>
      <c r="B18" s="41"/>
      <c r="C18" s="42"/>
      <c r="D18" s="42"/>
      <c r="E18" s="55">
        <v>130</v>
      </c>
      <c r="F18" s="55" t="s">
        <v>327</v>
      </c>
      <c r="G18" s="55" t="s">
        <v>327</v>
      </c>
      <c r="H18" s="226"/>
      <c r="I18" s="226">
        <v>26522</v>
      </c>
      <c r="J18" s="43">
        <f t="shared" ref="J18:J19" si="1">+J17+H18-I18</f>
        <v>1954009</v>
      </c>
    </row>
    <row r="19" spans="1:16">
      <c r="A19" s="35"/>
      <c r="B19" s="41"/>
      <c r="C19" s="42"/>
      <c r="D19" s="42"/>
      <c r="E19" s="42"/>
      <c r="F19" s="42"/>
      <c r="G19" s="45"/>
      <c r="H19" s="37"/>
      <c r="I19" s="37"/>
      <c r="J19" s="43">
        <f t="shared" si="1"/>
        <v>1954009</v>
      </c>
    </row>
    <row r="20" spans="1:16" s="121" customFormat="1">
      <c r="A20" s="48"/>
      <c r="B20" s="330" t="s">
        <v>68</v>
      </c>
      <c r="C20" s="331"/>
      <c r="D20" s="331"/>
      <c r="E20" s="331"/>
      <c r="F20" s="331"/>
      <c r="G20" s="331"/>
      <c r="H20" s="331"/>
      <c r="I20" s="331"/>
      <c r="J20" s="332"/>
    </row>
    <row r="21" spans="1:16" s="121" customFormat="1">
      <c r="A21" s="48"/>
      <c r="B21" s="41"/>
      <c r="C21" s="42"/>
      <c r="D21" s="42"/>
      <c r="E21" s="42"/>
      <c r="F21" s="42" t="s">
        <v>171</v>
      </c>
      <c r="G21" s="42" t="s">
        <v>171</v>
      </c>
      <c r="H21" s="148">
        <f>SUBVENCION!G13+SUBVENCION!H13</f>
        <v>11257415</v>
      </c>
      <c r="I21" s="110"/>
      <c r="J21" s="110">
        <f>+J19+H21-I21</f>
        <v>13211424</v>
      </c>
      <c r="L21" s="97" t="s">
        <v>5</v>
      </c>
      <c r="M21" s="36" t="s">
        <v>214</v>
      </c>
      <c r="N21" s="97" t="s">
        <v>212</v>
      </c>
      <c r="O21" s="97" t="s">
        <v>213</v>
      </c>
      <c r="P21" s="97" t="s">
        <v>7</v>
      </c>
    </row>
    <row r="22" spans="1:16">
      <c r="A22" s="35"/>
      <c r="B22" s="41"/>
      <c r="C22" s="42"/>
      <c r="D22" s="42"/>
      <c r="E22" s="42"/>
      <c r="F22" s="42" t="s">
        <v>199</v>
      </c>
      <c r="G22" s="42" t="s">
        <v>199</v>
      </c>
      <c r="H22" s="37"/>
      <c r="I22" s="102">
        <v>10646072</v>
      </c>
      <c r="J22" s="61">
        <f>+J21+H22-I22</f>
        <v>2565352</v>
      </c>
      <c r="L22" s="115">
        <f>H21</f>
        <v>11257415</v>
      </c>
      <c r="M22" s="101">
        <f>L22*10%</f>
        <v>1125741.5</v>
      </c>
      <c r="N22" s="115">
        <f>I22</f>
        <v>10646072</v>
      </c>
      <c r="O22" s="115">
        <f>SUM(I23:I25)</f>
        <v>233073</v>
      </c>
      <c r="P22" s="115">
        <f>L22-M22-N22-O22</f>
        <v>-747471.5</v>
      </c>
    </row>
    <row r="23" spans="1:16">
      <c r="A23" s="35"/>
      <c r="B23" s="41"/>
      <c r="C23" s="42"/>
      <c r="D23" s="42"/>
      <c r="E23" s="55">
        <v>222</v>
      </c>
      <c r="F23" s="55" t="s">
        <v>327</v>
      </c>
      <c r="G23" s="55" t="s">
        <v>327</v>
      </c>
      <c r="H23" s="37"/>
      <c r="I23" s="37">
        <v>26522</v>
      </c>
      <c r="J23" s="61">
        <f t="shared" ref="J23:J24" si="2">+J22+H23-I23</f>
        <v>2538830</v>
      </c>
    </row>
    <row r="24" spans="1:16">
      <c r="A24" s="35"/>
      <c r="B24" s="41">
        <v>46086</v>
      </c>
      <c r="C24" s="42">
        <v>5</v>
      </c>
      <c r="D24" s="42">
        <v>148</v>
      </c>
      <c r="E24" s="42">
        <v>570</v>
      </c>
      <c r="F24" s="42" t="s">
        <v>267</v>
      </c>
      <c r="G24" s="42" t="s">
        <v>267</v>
      </c>
      <c r="H24" s="37"/>
      <c r="I24" s="37">
        <v>206551</v>
      </c>
      <c r="J24" s="61">
        <f t="shared" si="2"/>
        <v>2332279</v>
      </c>
    </row>
    <row r="25" spans="1:16">
      <c r="B25" s="41"/>
      <c r="C25" s="42"/>
      <c r="D25" s="42"/>
      <c r="E25" s="42"/>
      <c r="F25" s="42"/>
      <c r="G25" s="45"/>
      <c r="H25" s="61"/>
      <c r="I25" s="61"/>
      <c r="J25" s="61">
        <f>+J24+H25-I25</f>
        <v>2332279</v>
      </c>
    </row>
    <row r="26" spans="1:16">
      <c r="B26" s="330" t="s">
        <v>69</v>
      </c>
      <c r="C26" s="331"/>
      <c r="D26" s="331"/>
      <c r="E26" s="331"/>
      <c r="F26" s="331"/>
      <c r="G26" s="331"/>
      <c r="H26" s="331"/>
      <c r="I26" s="331"/>
      <c r="J26" s="332"/>
    </row>
    <row r="27" spans="1:16">
      <c r="B27" s="41"/>
      <c r="C27" s="42"/>
      <c r="D27" s="42"/>
      <c r="E27" s="42"/>
      <c r="F27" s="42" t="s">
        <v>171</v>
      </c>
      <c r="G27" s="42" t="s">
        <v>171</v>
      </c>
      <c r="H27" s="37">
        <f>SUBVENCION!I13+SUBVENCION!J13</f>
        <v>10925031</v>
      </c>
      <c r="I27" s="37"/>
      <c r="J27" s="122">
        <f>+J25+H27-I27</f>
        <v>13257310</v>
      </c>
      <c r="L27" s="97" t="s">
        <v>5</v>
      </c>
      <c r="M27" s="36" t="s">
        <v>214</v>
      </c>
      <c r="N27" s="97" t="s">
        <v>212</v>
      </c>
      <c r="O27" s="97" t="s">
        <v>213</v>
      </c>
      <c r="P27" s="97" t="s">
        <v>7</v>
      </c>
    </row>
    <row r="28" spans="1:16">
      <c r="B28" s="41"/>
      <c r="C28" s="42"/>
      <c r="D28" s="42"/>
      <c r="E28" s="42"/>
      <c r="F28" s="42" t="s">
        <v>199</v>
      </c>
      <c r="G28" s="42" t="s">
        <v>199</v>
      </c>
      <c r="H28" s="37"/>
      <c r="I28" s="102">
        <v>10875941</v>
      </c>
      <c r="J28" s="43">
        <f>+J27+H28-I28</f>
        <v>2381369</v>
      </c>
      <c r="L28" s="115">
        <f>H27</f>
        <v>10925031</v>
      </c>
      <c r="M28" s="101">
        <f>L28*10%</f>
        <v>1092503.1000000001</v>
      </c>
      <c r="N28" s="115">
        <f>I28</f>
        <v>10875941</v>
      </c>
      <c r="O28" s="115">
        <f>SUM(I29:I30)</f>
        <v>26535</v>
      </c>
      <c r="P28" s="115">
        <f>L28-M28-N28-O28</f>
        <v>-1069948.0999999996</v>
      </c>
    </row>
    <row r="29" spans="1:16">
      <c r="B29" s="41"/>
      <c r="C29" s="42"/>
      <c r="D29" s="42"/>
      <c r="E29" s="55">
        <v>350</v>
      </c>
      <c r="F29" s="55" t="s">
        <v>327</v>
      </c>
      <c r="G29" s="55" t="s">
        <v>327</v>
      </c>
      <c r="H29" s="226"/>
      <c r="I29" s="226">
        <v>26535</v>
      </c>
      <c r="J29" s="43">
        <f t="shared" ref="J29:J30" si="3">+J28+H29-I29</f>
        <v>2354834</v>
      </c>
    </row>
    <row r="30" spans="1:16">
      <c r="B30" s="41"/>
      <c r="C30" s="42"/>
      <c r="D30" s="42"/>
      <c r="E30" s="42"/>
      <c r="F30" s="42"/>
      <c r="G30" s="42"/>
      <c r="H30" s="37"/>
      <c r="I30" s="37"/>
      <c r="J30" s="43">
        <f t="shared" si="3"/>
        <v>2354834</v>
      </c>
    </row>
    <row r="31" spans="1:16" s="121" customFormat="1">
      <c r="B31" s="330" t="s">
        <v>120</v>
      </c>
      <c r="C31" s="331"/>
      <c r="D31" s="331"/>
      <c r="E31" s="331"/>
      <c r="F31" s="331"/>
      <c r="G31" s="331"/>
      <c r="H31" s="331"/>
      <c r="I31" s="331"/>
      <c r="J31" s="332"/>
    </row>
    <row r="32" spans="1:16">
      <c r="B32" s="41"/>
      <c r="C32" s="42"/>
      <c r="D32" s="42"/>
      <c r="E32" s="42"/>
      <c r="F32" s="42" t="s">
        <v>171</v>
      </c>
      <c r="G32" s="42" t="s">
        <v>171</v>
      </c>
      <c r="H32" s="37">
        <f>SUBVENCION!K13+SUBVENCION!L13</f>
        <v>10953973</v>
      </c>
      <c r="I32" s="37"/>
      <c r="J32" s="43">
        <f>+J30+H32-I32</f>
        <v>13308807</v>
      </c>
      <c r="L32" s="97" t="s">
        <v>5</v>
      </c>
      <c r="M32" s="36" t="s">
        <v>214</v>
      </c>
      <c r="N32" s="97" t="s">
        <v>212</v>
      </c>
      <c r="O32" s="97" t="s">
        <v>213</v>
      </c>
      <c r="P32" s="97" t="s">
        <v>7</v>
      </c>
    </row>
    <row r="33" spans="1:16">
      <c r="B33" s="41"/>
      <c r="C33" s="42"/>
      <c r="D33" s="42"/>
      <c r="E33" s="42"/>
      <c r="F33" s="42" t="s">
        <v>199</v>
      </c>
      <c r="G33" s="42" t="s">
        <v>199</v>
      </c>
      <c r="H33" s="37"/>
      <c r="I33" s="102">
        <v>10666031</v>
      </c>
      <c r="J33" s="43">
        <f>+J32+H33-I33</f>
        <v>2642776</v>
      </c>
      <c r="L33" s="115">
        <f>H32</f>
        <v>10953973</v>
      </c>
      <c r="M33" s="101">
        <f>L33*10%</f>
        <v>1095397.3</v>
      </c>
      <c r="N33" s="115">
        <f>I33</f>
        <v>10666031</v>
      </c>
      <c r="O33" s="115" t="e">
        <f>I34+I35++#REF!+#REF!</f>
        <v>#REF!</v>
      </c>
      <c r="P33" s="115" t="e">
        <f>L33-M33-N33-O33</f>
        <v>#REF!</v>
      </c>
    </row>
    <row r="34" spans="1:16">
      <c r="B34" s="41"/>
      <c r="C34" s="42"/>
      <c r="D34" s="42"/>
      <c r="E34" s="42">
        <v>563</v>
      </c>
      <c r="F34" s="55" t="s">
        <v>327</v>
      </c>
      <c r="G34" s="55" t="s">
        <v>327</v>
      </c>
      <c r="H34" s="37"/>
      <c r="I34" s="37">
        <v>26522</v>
      </c>
      <c r="J34" s="43">
        <f t="shared" ref="J34:J35" si="4">+J33+H34-I34</f>
        <v>2616254</v>
      </c>
    </row>
    <row r="35" spans="1:16">
      <c r="B35" s="41"/>
      <c r="C35" s="42"/>
      <c r="D35" s="42"/>
      <c r="E35" s="42"/>
      <c r="F35" s="42"/>
      <c r="G35" s="45"/>
      <c r="H35" s="37"/>
      <c r="I35" s="37"/>
      <c r="J35" s="43">
        <f t="shared" si="4"/>
        <v>2616254</v>
      </c>
    </row>
    <row r="36" spans="1:16">
      <c r="B36" s="330" t="s">
        <v>129</v>
      </c>
      <c r="C36" s="331"/>
      <c r="D36" s="331"/>
      <c r="E36" s="331"/>
      <c r="F36" s="331"/>
      <c r="G36" s="331"/>
      <c r="H36" s="331"/>
      <c r="I36" s="331"/>
      <c r="J36" s="332"/>
    </row>
    <row r="37" spans="1:16">
      <c r="B37" s="41"/>
      <c r="C37" s="42"/>
      <c r="D37" s="42"/>
      <c r="E37" s="42"/>
      <c r="F37" s="42" t="s">
        <v>171</v>
      </c>
      <c r="G37" s="42" t="s">
        <v>171</v>
      </c>
      <c r="H37" s="37">
        <f>SUBVENCION!M13+SUBVENCION!N13</f>
        <v>10929008</v>
      </c>
      <c r="I37" s="37"/>
      <c r="J37" s="43">
        <f>+J35+H37-I37</f>
        <v>13545262</v>
      </c>
      <c r="L37" s="97" t="s">
        <v>5</v>
      </c>
      <c r="M37" s="36" t="s">
        <v>214</v>
      </c>
      <c r="N37" s="97" t="s">
        <v>212</v>
      </c>
      <c r="O37" s="97" t="s">
        <v>213</v>
      </c>
      <c r="P37" s="97" t="s">
        <v>7</v>
      </c>
    </row>
    <row r="38" spans="1:16">
      <c r="B38" s="41"/>
      <c r="C38" s="42"/>
      <c r="D38" s="42"/>
      <c r="E38" s="42"/>
      <c r="F38" s="42" t="s">
        <v>199</v>
      </c>
      <c r="G38" s="42" t="s">
        <v>199</v>
      </c>
      <c r="H38" s="37"/>
      <c r="I38" s="37">
        <v>10192458</v>
      </c>
      <c r="J38" s="43">
        <f>+J37+H38-I38</f>
        <v>3352804</v>
      </c>
      <c r="L38" s="115">
        <f>H37</f>
        <v>10929008</v>
      </c>
      <c r="M38" s="101">
        <f>L38*10%</f>
        <v>1092900.8</v>
      </c>
      <c r="N38" s="115">
        <f>I38</f>
        <v>10192458</v>
      </c>
      <c r="O38" s="115" t="e">
        <f>I39+#REF!+#REF!+#REF!+I40</f>
        <v>#REF!</v>
      </c>
      <c r="P38" s="115" t="e">
        <f>L38-M38-N38-O38</f>
        <v>#REF!</v>
      </c>
    </row>
    <row r="39" spans="1:16">
      <c r="B39" s="41"/>
      <c r="C39" s="42"/>
      <c r="D39" s="42"/>
      <c r="E39" s="42">
        <v>734</v>
      </c>
      <c r="F39" s="55" t="s">
        <v>327</v>
      </c>
      <c r="G39" s="55" t="s">
        <v>327</v>
      </c>
      <c r="H39" s="37"/>
      <c r="I39" s="37">
        <v>26522</v>
      </c>
      <c r="J39" s="43">
        <f t="shared" ref="J39" si="5">+J38+H39-I39</f>
        <v>3326282</v>
      </c>
    </row>
    <row r="40" spans="1:16">
      <c r="B40" s="41"/>
      <c r="C40" s="42"/>
      <c r="D40" s="42"/>
      <c r="E40" s="42"/>
      <c r="F40" s="42"/>
      <c r="G40" s="45"/>
      <c r="H40" s="37"/>
      <c r="I40" s="37"/>
      <c r="J40" s="43">
        <f>+J39+H40-I40</f>
        <v>3326282</v>
      </c>
    </row>
    <row r="41" spans="1:16">
      <c r="A41" s="35"/>
      <c r="B41" s="330" t="s">
        <v>65</v>
      </c>
      <c r="C41" s="331"/>
      <c r="D41" s="331"/>
      <c r="E41" s="331"/>
      <c r="F41" s="331"/>
      <c r="G41" s="331"/>
      <c r="H41" s="331"/>
      <c r="I41" s="331"/>
      <c r="J41" s="332"/>
    </row>
    <row r="42" spans="1:16">
      <c r="A42" s="35"/>
      <c r="B42" s="41"/>
      <c r="C42" s="42"/>
      <c r="D42" s="42"/>
      <c r="E42" s="42"/>
      <c r="F42" s="42" t="s">
        <v>171</v>
      </c>
      <c r="G42" s="42" t="s">
        <v>171</v>
      </c>
      <c r="H42" s="37">
        <f>+SUBVENCION!O13+SUBVENCION!P13</f>
        <v>11213106</v>
      </c>
      <c r="I42" s="37"/>
      <c r="J42" s="43">
        <f>+J40+H42-I42</f>
        <v>14539388</v>
      </c>
      <c r="L42" s="97" t="s">
        <v>5</v>
      </c>
      <c r="M42" s="36" t="s">
        <v>214</v>
      </c>
      <c r="N42" s="97" t="s">
        <v>212</v>
      </c>
      <c r="O42" s="97" t="s">
        <v>213</v>
      </c>
      <c r="P42" s="97" t="s">
        <v>7</v>
      </c>
    </row>
    <row r="43" spans="1:16">
      <c r="A43" s="35"/>
      <c r="B43" s="41"/>
      <c r="C43" s="42"/>
      <c r="D43" s="42"/>
      <c r="E43" s="42"/>
      <c r="F43" s="42" t="s">
        <v>199</v>
      </c>
      <c r="G43" s="42" t="s">
        <v>199</v>
      </c>
      <c r="H43" s="37"/>
      <c r="I43" s="37">
        <v>10130978</v>
      </c>
      <c r="J43" s="43">
        <f t="shared" ref="J43:J44" si="6">+J42+H43-I43</f>
        <v>4408410</v>
      </c>
      <c r="L43" s="115">
        <f>H42</f>
        <v>11213106</v>
      </c>
      <c r="M43" s="101">
        <f>L43*10%</f>
        <v>1121310.6000000001</v>
      </c>
      <c r="N43" s="115">
        <f>I43</f>
        <v>10130978</v>
      </c>
      <c r="O43" s="115" t="e">
        <f>I44+#REF!+#REF!+I45</f>
        <v>#REF!</v>
      </c>
      <c r="P43" s="115" t="e">
        <f>L43-M43-N43-O43</f>
        <v>#REF!</v>
      </c>
    </row>
    <row r="44" spans="1:16">
      <c r="A44" s="35"/>
      <c r="B44" s="41"/>
      <c r="C44" s="42"/>
      <c r="D44" s="42"/>
      <c r="E44" s="42">
        <v>944</v>
      </c>
      <c r="F44" s="55" t="s">
        <v>327</v>
      </c>
      <c r="G44" s="55" t="s">
        <v>327</v>
      </c>
      <c r="H44" s="37"/>
      <c r="I44" s="37">
        <v>26522</v>
      </c>
      <c r="J44" s="43">
        <f t="shared" si="6"/>
        <v>4381888</v>
      </c>
    </row>
    <row r="45" spans="1:16">
      <c r="A45" s="35"/>
      <c r="B45" s="41"/>
      <c r="C45" s="42"/>
      <c r="D45" s="42"/>
      <c r="E45" s="42"/>
      <c r="F45" s="42"/>
      <c r="G45" s="42"/>
      <c r="H45" s="37"/>
      <c r="I45" s="37"/>
      <c r="J45" s="43">
        <f>+J44+H45-I45</f>
        <v>4381888</v>
      </c>
    </row>
    <row r="46" spans="1:16">
      <c r="A46" s="35"/>
      <c r="B46" s="320" t="s">
        <v>130</v>
      </c>
      <c r="C46" s="321"/>
      <c r="D46" s="321"/>
      <c r="E46" s="321"/>
      <c r="F46" s="321"/>
      <c r="G46" s="321"/>
      <c r="H46" s="321"/>
      <c r="I46" s="321"/>
      <c r="J46" s="322"/>
    </row>
    <row r="47" spans="1:16">
      <c r="A47" s="35"/>
      <c r="B47" s="41"/>
      <c r="C47" s="42"/>
      <c r="D47" s="42"/>
      <c r="E47" s="42"/>
      <c r="F47" s="42" t="s">
        <v>171</v>
      </c>
      <c r="G47" s="42" t="s">
        <v>171</v>
      </c>
      <c r="H47" s="37">
        <f>+SUBVENCION!Q13+SUBVENCION!R13</f>
        <v>11066449</v>
      </c>
      <c r="I47" s="37"/>
      <c r="J47" s="43">
        <f>+J45+H47-I47</f>
        <v>15448337</v>
      </c>
      <c r="L47" s="97" t="s">
        <v>5</v>
      </c>
      <c r="M47" s="36" t="s">
        <v>214</v>
      </c>
      <c r="N47" s="97" t="s">
        <v>212</v>
      </c>
      <c r="O47" s="97" t="s">
        <v>213</v>
      </c>
      <c r="P47" s="97" t="s">
        <v>7</v>
      </c>
    </row>
    <row r="48" spans="1:16">
      <c r="A48" s="35"/>
      <c r="B48" s="41"/>
      <c r="C48" s="42"/>
      <c r="D48" s="42"/>
      <c r="E48" s="42"/>
      <c r="F48" s="42" t="s">
        <v>199</v>
      </c>
      <c r="G48" s="42" t="s">
        <v>199</v>
      </c>
      <c r="H48" s="37"/>
      <c r="I48" s="37">
        <v>9632153</v>
      </c>
      <c r="J48" s="43">
        <f>+J47+H48-I48</f>
        <v>5816184</v>
      </c>
      <c r="L48" s="115">
        <f>H47</f>
        <v>11066449</v>
      </c>
      <c r="M48" s="101">
        <f>L48*10%</f>
        <v>1106644.9000000001</v>
      </c>
      <c r="N48" s="115">
        <f>I48</f>
        <v>9632153</v>
      </c>
      <c r="O48" s="115">
        <f>SUM(I49:I52)</f>
        <v>446152</v>
      </c>
      <c r="P48" s="115">
        <f>L48-M48-N48-O48</f>
        <v>-118500.90000000037</v>
      </c>
    </row>
    <row r="49" spans="1:16">
      <c r="A49" s="35"/>
      <c r="B49" s="41"/>
      <c r="C49" s="42"/>
      <c r="D49" s="42"/>
      <c r="E49" s="42">
        <v>1178</v>
      </c>
      <c r="F49" s="55" t="s">
        <v>327</v>
      </c>
      <c r="G49" s="55" t="s">
        <v>327</v>
      </c>
      <c r="H49" s="37"/>
      <c r="I49" s="37">
        <v>26522</v>
      </c>
      <c r="J49" s="43">
        <f t="shared" ref="J49:J51" si="7">+J48+H49-I49</f>
        <v>5789662</v>
      </c>
    </row>
    <row r="50" spans="1:16">
      <c r="A50" s="35"/>
      <c r="B50" s="41">
        <v>46262</v>
      </c>
      <c r="C50" s="42">
        <v>31</v>
      </c>
      <c r="D50" s="42">
        <v>897</v>
      </c>
      <c r="E50" s="42"/>
      <c r="F50" s="42" t="s">
        <v>267</v>
      </c>
      <c r="G50" s="42" t="s">
        <v>267</v>
      </c>
      <c r="H50" s="61"/>
      <c r="I50" s="37">
        <v>208810</v>
      </c>
      <c r="J50" s="43">
        <f t="shared" si="7"/>
        <v>5580852</v>
      </c>
    </row>
    <row r="51" spans="1:16">
      <c r="A51" s="35"/>
      <c r="B51" s="41">
        <v>46262</v>
      </c>
      <c r="C51" s="42">
        <v>32</v>
      </c>
      <c r="D51" s="42">
        <v>898</v>
      </c>
      <c r="E51" s="42"/>
      <c r="F51" s="42" t="s">
        <v>507</v>
      </c>
      <c r="G51" s="42" t="s">
        <v>507</v>
      </c>
      <c r="H51" s="37"/>
      <c r="I51" s="37">
        <v>210820</v>
      </c>
      <c r="J51" s="43">
        <f t="shared" si="7"/>
        <v>5370032</v>
      </c>
    </row>
    <row r="52" spans="1:16">
      <c r="A52" s="35"/>
      <c r="B52" s="41"/>
      <c r="C52" s="42"/>
      <c r="D52" s="42"/>
      <c r="E52" s="42"/>
      <c r="F52" s="42"/>
      <c r="G52" s="42"/>
      <c r="H52" s="37"/>
      <c r="I52" s="37"/>
      <c r="J52" s="43">
        <f>+J51+H52-I52</f>
        <v>5370032</v>
      </c>
    </row>
    <row r="53" spans="1:16" ht="15" customHeight="1">
      <c r="A53" s="35"/>
      <c r="B53" s="320" t="s">
        <v>131</v>
      </c>
      <c r="C53" s="321"/>
      <c r="D53" s="321"/>
      <c r="E53" s="321"/>
      <c r="F53" s="321"/>
      <c r="G53" s="321"/>
      <c r="H53" s="321"/>
      <c r="I53" s="321"/>
      <c r="J53" s="322"/>
    </row>
    <row r="54" spans="1:16">
      <c r="A54" s="35"/>
      <c r="B54" s="41"/>
      <c r="C54" s="42"/>
      <c r="D54" s="42"/>
      <c r="E54" s="42"/>
      <c r="F54" s="42" t="s">
        <v>171</v>
      </c>
      <c r="G54" s="42" t="s">
        <v>171</v>
      </c>
      <c r="H54" s="61">
        <f>+SUBVENCION!S13+SUBVENCION!T13</f>
        <v>10992219</v>
      </c>
      <c r="I54" s="61"/>
      <c r="J54" s="43">
        <f>+J52+H54-I54</f>
        <v>16362251</v>
      </c>
      <c r="L54" s="97" t="s">
        <v>5</v>
      </c>
      <c r="M54" s="36" t="s">
        <v>214</v>
      </c>
      <c r="N54" s="97" t="s">
        <v>212</v>
      </c>
      <c r="O54" s="97" t="s">
        <v>213</v>
      </c>
      <c r="P54" s="97" t="s">
        <v>7</v>
      </c>
    </row>
    <row r="55" spans="1:16">
      <c r="A55" s="35"/>
      <c r="B55" s="41"/>
      <c r="C55" s="42"/>
      <c r="D55" s="42"/>
      <c r="E55" s="42"/>
      <c r="F55" s="42" t="s">
        <v>199</v>
      </c>
      <c r="G55" s="42" t="s">
        <v>199</v>
      </c>
      <c r="H55" s="37"/>
      <c r="I55" s="37">
        <v>9086880</v>
      </c>
      <c r="J55" s="43">
        <f>J54+H55-I55</f>
        <v>7275371</v>
      </c>
      <c r="L55" s="115">
        <f>H54</f>
        <v>10992219</v>
      </c>
      <c r="M55" s="101">
        <f>L55*10%</f>
        <v>1099221.9000000001</v>
      </c>
      <c r="N55" s="115">
        <f>I55</f>
        <v>9086880</v>
      </c>
      <c r="O55" s="115">
        <f>SUM(I56:I64)</f>
        <v>1850121</v>
      </c>
      <c r="P55" s="115">
        <f>L55-M55-N55-O55</f>
        <v>-1044003.9000000004</v>
      </c>
    </row>
    <row r="56" spans="1:16">
      <c r="A56" s="35"/>
      <c r="B56" s="41">
        <v>46267</v>
      </c>
      <c r="C56" s="42">
        <v>33</v>
      </c>
      <c r="D56" s="42">
        <v>919</v>
      </c>
      <c r="E56" s="42" t="s">
        <v>701</v>
      </c>
      <c r="F56" s="42" t="s">
        <v>507</v>
      </c>
      <c r="G56" s="42" t="s">
        <v>674</v>
      </c>
      <c r="H56" s="37"/>
      <c r="I56" s="37">
        <v>215064</v>
      </c>
      <c r="J56" s="43">
        <f t="shared" ref="J56:J64" si="8">J55+H56-I56</f>
        <v>7060307</v>
      </c>
    </row>
    <row r="57" spans="1:16">
      <c r="A57" s="35"/>
      <c r="B57" s="41">
        <v>46269</v>
      </c>
      <c r="C57" s="42">
        <v>35</v>
      </c>
      <c r="D57" s="42">
        <v>934</v>
      </c>
      <c r="E57" s="79"/>
      <c r="F57" s="42" t="s">
        <v>507</v>
      </c>
      <c r="G57" s="45" t="s">
        <v>507</v>
      </c>
      <c r="H57" s="37"/>
      <c r="I57" s="37">
        <v>214650</v>
      </c>
      <c r="J57" s="43">
        <f t="shared" si="8"/>
        <v>6845657</v>
      </c>
    </row>
    <row r="58" spans="1:16">
      <c r="A58" s="35"/>
      <c r="B58" s="41">
        <v>46269</v>
      </c>
      <c r="C58" s="42">
        <v>34</v>
      </c>
      <c r="D58" s="42">
        <v>935</v>
      </c>
      <c r="E58" s="79"/>
      <c r="F58" s="42" t="s">
        <v>267</v>
      </c>
      <c r="G58" s="45" t="s">
        <v>516</v>
      </c>
      <c r="H58" s="37"/>
      <c r="I58" s="37">
        <v>214610</v>
      </c>
      <c r="J58" s="43">
        <f t="shared" si="8"/>
        <v>6631047</v>
      </c>
    </row>
    <row r="59" spans="1:16">
      <c r="A59" s="35"/>
      <c r="B59" s="41">
        <v>46279</v>
      </c>
      <c r="C59" s="42">
        <v>38</v>
      </c>
      <c r="D59" s="42">
        <v>980</v>
      </c>
      <c r="E59" s="42"/>
      <c r="F59" s="42" t="s">
        <v>267</v>
      </c>
      <c r="G59" s="42" t="s">
        <v>742</v>
      </c>
      <c r="H59" s="37"/>
      <c r="I59" s="37">
        <v>214100</v>
      </c>
      <c r="J59" s="43">
        <f t="shared" si="8"/>
        <v>6416947</v>
      </c>
    </row>
    <row r="60" spans="1:16">
      <c r="A60" s="35"/>
      <c r="B60" s="41">
        <v>46279</v>
      </c>
      <c r="C60" s="42">
        <v>39</v>
      </c>
      <c r="D60" s="42">
        <v>982</v>
      </c>
      <c r="E60" s="42"/>
      <c r="F60" s="42" t="s">
        <v>267</v>
      </c>
      <c r="G60" s="45" t="s">
        <v>743</v>
      </c>
      <c r="H60" s="37"/>
      <c r="I60" s="37">
        <v>208900</v>
      </c>
      <c r="J60" s="43">
        <f t="shared" si="8"/>
        <v>6208047</v>
      </c>
    </row>
    <row r="61" spans="1:16">
      <c r="A61" s="35"/>
      <c r="B61" s="41">
        <v>46281</v>
      </c>
      <c r="C61" s="42">
        <v>40</v>
      </c>
      <c r="D61" s="42">
        <v>984</v>
      </c>
      <c r="E61" s="42"/>
      <c r="F61" s="45" t="s">
        <v>267</v>
      </c>
      <c r="G61" s="42" t="s">
        <v>727</v>
      </c>
      <c r="H61" s="37"/>
      <c r="I61" s="37">
        <v>215150</v>
      </c>
      <c r="J61" s="43">
        <f t="shared" si="8"/>
        <v>5992897</v>
      </c>
    </row>
    <row r="62" spans="1:16">
      <c r="A62" s="35"/>
      <c r="B62" s="41">
        <v>46290</v>
      </c>
      <c r="C62" s="42">
        <v>41</v>
      </c>
      <c r="D62" s="42" t="s">
        <v>354</v>
      </c>
      <c r="E62" s="42"/>
      <c r="F62" s="42" t="s">
        <v>772</v>
      </c>
      <c r="G62" s="42" t="s">
        <v>772</v>
      </c>
      <c r="H62" s="37"/>
      <c r="I62" s="37">
        <v>567647</v>
      </c>
      <c r="J62" s="43">
        <f t="shared" si="8"/>
        <v>5425250</v>
      </c>
    </row>
    <row r="63" spans="1:16">
      <c r="A63" s="35"/>
      <c r="B63" s="203"/>
      <c r="C63" s="202"/>
      <c r="D63" s="202"/>
      <c r="E63" s="202"/>
      <c r="F63" s="42"/>
      <c r="G63" s="42"/>
      <c r="H63" s="37"/>
      <c r="I63" s="37"/>
      <c r="J63" s="43">
        <f t="shared" si="8"/>
        <v>5425250</v>
      </c>
    </row>
    <row r="64" spans="1:16">
      <c r="A64" s="35"/>
      <c r="B64" s="203"/>
      <c r="C64" s="202"/>
      <c r="D64" s="202"/>
      <c r="E64" s="202"/>
      <c r="F64" s="42"/>
      <c r="G64" s="42"/>
      <c r="H64" s="37"/>
      <c r="I64" s="37"/>
      <c r="J64" s="43">
        <f t="shared" si="8"/>
        <v>5425250</v>
      </c>
    </row>
    <row r="65" spans="1:16">
      <c r="A65" s="35"/>
      <c r="B65" s="320" t="s">
        <v>132</v>
      </c>
      <c r="C65" s="321"/>
      <c r="D65" s="321"/>
      <c r="E65" s="321"/>
      <c r="F65" s="321"/>
      <c r="G65" s="321"/>
      <c r="H65" s="321"/>
      <c r="I65" s="321"/>
      <c r="J65" s="322"/>
    </row>
    <row r="66" spans="1:16">
      <c r="A66" s="35"/>
      <c r="B66" s="41"/>
      <c r="C66" s="42"/>
      <c r="D66" s="42"/>
      <c r="E66" s="42"/>
      <c r="F66" s="42" t="s">
        <v>171</v>
      </c>
      <c r="G66" s="42" t="s">
        <v>171</v>
      </c>
      <c r="H66" s="37">
        <f>+SUBVENCION!U13+SUBVENCION!V13</f>
        <v>0</v>
      </c>
      <c r="I66" s="37"/>
      <c r="J66" s="43">
        <f>J64+H66-I66</f>
        <v>5425250</v>
      </c>
      <c r="L66" s="97" t="s">
        <v>5</v>
      </c>
      <c r="M66" s="36" t="s">
        <v>214</v>
      </c>
      <c r="N66" s="97" t="s">
        <v>212</v>
      </c>
      <c r="O66" s="97" t="s">
        <v>213</v>
      </c>
      <c r="P66" s="97" t="s">
        <v>7</v>
      </c>
    </row>
    <row r="67" spans="1:16">
      <c r="A67" s="35"/>
      <c r="B67" s="41"/>
      <c r="C67" s="42"/>
      <c r="D67" s="42"/>
      <c r="E67" s="42"/>
      <c r="F67" s="42" t="s">
        <v>199</v>
      </c>
      <c r="G67" s="42" t="s">
        <v>199</v>
      </c>
      <c r="H67" s="37"/>
      <c r="I67" s="37"/>
      <c r="J67" s="43">
        <f t="shared" ref="J67:J73" si="9">+J66+H67-I67</f>
        <v>5425250</v>
      </c>
      <c r="L67" s="115">
        <f>H66</f>
        <v>0</v>
      </c>
      <c r="M67" s="101">
        <f>L67*10%</f>
        <v>0</v>
      </c>
      <c r="N67" s="115">
        <f>I67</f>
        <v>0</v>
      </c>
      <c r="O67" s="115">
        <f>I68</f>
        <v>0</v>
      </c>
      <c r="P67" s="115">
        <f>L67-M67-N67-O67</f>
        <v>0</v>
      </c>
    </row>
    <row r="68" spans="1:16">
      <c r="A68" s="35"/>
      <c r="B68" s="41"/>
      <c r="C68" s="42"/>
      <c r="D68" s="42"/>
      <c r="E68" s="42"/>
      <c r="F68" s="42"/>
      <c r="G68" s="42"/>
      <c r="H68" s="37"/>
      <c r="I68" s="37"/>
      <c r="J68" s="43">
        <f t="shared" si="9"/>
        <v>5425250</v>
      </c>
    </row>
    <row r="69" spans="1:16">
      <c r="A69" s="35"/>
      <c r="B69" s="41"/>
      <c r="C69" s="42"/>
      <c r="D69" s="42"/>
      <c r="E69" s="42"/>
      <c r="F69" s="42"/>
      <c r="G69" s="42"/>
      <c r="H69" s="37"/>
      <c r="I69" s="37"/>
      <c r="J69" s="43">
        <f t="shared" si="9"/>
        <v>5425250</v>
      </c>
    </row>
    <row r="70" spans="1:16">
      <c r="A70" s="35"/>
      <c r="B70" s="41"/>
      <c r="C70" s="42"/>
      <c r="D70" s="42"/>
      <c r="E70" s="42"/>
      <c r="F70" s="42"/>
      <c r="G70" s="42"/>
      <c r="H70" s="37"/>
      <c r="I70" s="37"/>
      <c r="J70" s="43">
        <f t="shared" si="9"/>
        <v>5425250</v>
      </c>
    </row>
    <row r="71" spans="1:16">
      <c r="A71" s="35"/>
      <c r="B71" s="41"/>
      <c r="C71" s="42"/>
      <c r="D71" s="42"/>
      <c r="E71" s="42"/>
      <c r="F71" s="42"/>
      <c r="G71" s="42"/>
      <c r="H71" s="37"/>
      <c r="I71" s="37"/>
      <c r="J71" s="43">
        <f t="shared" si="9"/>
        <v>5425250</v>
      </c>
    </row>
    <row r="72" spans="1:16">
      <c r="A72" s="35"/>
      <c r="B72" s="41"/>
      <c r="C72" s="42"/>
      <c r="D72" s="42"/>
      <c r="E72" s="42"/>
      <c r="F72" s="45"/>
      <c r="G72" s="42"/>
      <c r="H72" s="37"/>
      <c r="I72" s="37"/>
      <c r="J72" s="43">
        <f t="shared" si="9"/>
        <v>5425250</v>
      </c>
    </row>
    <row r="73" spans="1:16">
      <c r="A73" s="35"/>
      <c r="B73" s="41"/>
      <c r="C73" s="42"/>
      <c r="D73" s="42"/>
      <c r="E73" s="42"/>
      <c r="F73" s="45"/>
      <c r="G73" s="42"/>
      <c r="H73" s="37"/>
      <c r="I73" s="37"/>
      <c r="J73" s="43">
        <f t="shared" si="9"/>
        <v>5425250</v>
      </c>
    </row>
    <row r="74" spans="1:16">
      <c r="A74" s="35"/>
      <c r="B74" s="320" t="s">
        <v>133</v>
      </c>
      <c r="C74" s="321"/>
      <c r="D74" s="321"/>
      <c r="E74" s="321"/>
      <c r="F74" s="321"/>
      <c r="G74" s="321"/>
      <c r="H74" s="321"/>
      <c r="I74" s="321"/>
      <c r="J74" s="322"/>
    </row>
    <row r="75" spans="1:16">
      <c r="A75" s="35"/>
      <c r="B75" s="41"/>
      <c r="C75" s="42"/>
      <c r="D75" s="42"/>
      <c r="E75" s="42"/>
      <c r="F75" s="42" t="s">
        <v>171</v>
      </c>
      <c r="G75" s="42" t="s">
        <v>171</v>
      </c>
      <c r="H75" s="37">
        <f>+SUBVENCION!W13+SUBVENCION!X13</f>
        <v>0</v>
      </c>
      <c r="I75" s="37"/>
      <c r="J75" s="43">
        <f>+J73+H75-I75</f>
        <v>5425250</v>
      </c>
      <c r="L75" s="97" t="s">
        <v>5</v>
      </c>
      <c r="M75" s="36" t="s">
        <v>214</v>
      </c>
      <c r="N75" s="97" t="s">
        <v>212</v>
      </c>
      <c r="O75" s="97" t="s">
        <v>213</v>
      </c>
      <c r="P75" s="97" t="s">
        <v>7</v>
      </c>
    </row>
    <row r="76" spans="1:16">
      <c r="A76" s="35"/>
      <c r="B76" s="41"/>
      <c r="C76" s="42"/>
      <c r="D76" s="42"/>
      <c r="E76" s="42"/>
      <c r="F76" s="42" t="s">
        <v>199</v>
      </c>
      <c r="G76" s="42" t="s">
        <v>199</v>
      </c>
      <c r="H76" s="37"/>
      <c r="I76" s="37"/>
      <c r="J76" s="43">
        <f>+J75+H76-I76</f>
        <v>5425250</v>
      </c>
      <c r="L76" s="115">
        <f>H75</f>
        <v>0</v>
      </c>
      <c r="M76" s="101">
        <f>L76*10%</f>
        <v>0</v>
      </c>
      <c r="N76" s="115">
        <f>I76</f>
        <v>0</v>
      </c>
      <c r="O76" s="115">
        <v>0</v>
      </c>
      <c r="P76" s="115">
        <f>L76-M76-N76-O76</f>
        <v>0</v>
      </c>
    </row>
    <row r="77" spans="1:16">
      <c r="A77" s="35"/>
      <c r="B77" s="41"/>
      <c r="C77" s="42"/>
      <c r="D77" s="42"/>
      <c r="E77" s="42"/>
      <c r="F77" s="42"/>
      <c r="G77" s="42"/>
      <c r="H77" s="37"/>
      <c r="I77" s="37"/>
      <c r="J77" s="43">
        <f t="shared" ref="J77:J80" si="10">+J76+H77-I77</f>
        <v>5425250</v>
      </c>
    </row>
    <row r="78" spans="1:16">
      <c r="A78" s="35"/>
      <c r="B78" s="41"/>
      <c r="C78" s="42"/>
      <c r="D78" s="42"/>
      <c r="E78" s="42"/>
      <c r="F78" s="42"/>
      <c r="G78" s="42"/>
      <c r="H78" s="37"/>
      <c r="I78" s="37"/>
      <c r="J78" s="43">
        <f t="shared" si="10"/>
        <v>5425250</v>
      </c>
    </row>
    <row r="79" spans="1:16">
      <c r="A79" s="35"/>
      <c r="B79" s="41"/>
      <c r="C79" s="42"/>
      <c r="D79" s="42"/>
      <c r="E79" s="42"/>
      <c r="F79" s="42"/>
      <c r="G79" s="42"/>
      <c r="H79" s="37"/>
      <c r="I79" s="37"/>
      <c r="J79" s="43">
        <f t="shared" si="10"/>
        <v>5425250</v>
      </c>
    </row>
    <row r="80" spans="1:16">
      <c r="A80" s="35"/>
      <c r="B80" s="41"/>
      <c r="C80" s="42"/>
      <c r="D80" s="42"/>
      <c r="E80" s="42"/>
      <c r="F80" s="42"/>
      <c r="G80" s="45"/>
      <c r="H80" s="37"/>
      <c r="I80" s="37"/>
      <c r="J80" s="43">
        <f t="shared" si="10"/>
        <v>5425250</v>
      </c>
    </row>
    <row r="81" spans="1:16">
      <c r="A81" s="35"/>
      <c r="B81" s="320" t="s">
        <v>134</v>
      </c>
      <c r="C81" s="321"/>
      <c r="D81" s="321"/>
      <c r="E81" s="321"/>
      <c r="F81" s="321"/>
      <c r="G81" s="321"/>
      <c r="H81" s="321"/>
      <c r="I81" s="321"/>
      <c r="J81" s="322"/>
    </row>
    <row r="82" spans="1:16">
      <c r="A82" s="35"/>
      <c r="B82" s="41"/>
      <c r="C82" s="42"/>
      <c r="D82" s="42"/>
      <c r="E82" s="42"/>
      <c r="F82" s="42" t="s">
        <v>171</v>
      </c>
      <c r="G82" s="42" t="s">
        <v>171</v>
      </c>
      <c r="H82" s="37">
        <f>+SUBVENCION!Y13+SUBVENCION!Z13</f>
        <v>0</v>
      </c>
      <c r="I82" s="37"/>
      <c r="J82" s="43">
        <f>J80+H82-I82</f>
        <v>5425250</v>
      </c>
      <c r="L82" s="97" t="s">
        <v>5</v>
      </c>
      <c r="M82" s="36" t="s">
        <v>214</v>
      </c>
      <c r="N82" s="97" t="s">
        <v>212</v>
      </c>
      <c r="O82" s="97" t="s">
        <v>213</v>
      </c>
      <c r="P82" s="97" t="s">
        <v>7</v>
      </c>
    </row>
    <row r="83" spans="1:16">
      <c r="A83" s="35"/>
      <c r="B83" s="41"/>
      <c r="C83" s="42"/>
      <c r="D83" s="42"/>
      <c r="E83" s="42"/>
      <c r="F83" s="42" t="s">
        <v>199</v>
      </c>
      <c r="G83" s="42" t="s">
        <v>199</v>
      </c>
      <c r="H83" s="37"/>
      <c r="I83" s="216"/>
      <c r="J83" s="43">
        <f>J82+H83-I83</f>
        <v>5425250</v>
      </c>
      <c r="L83" s="115">
        <f>H82</f>
        <v>0</v>
      </c>
      <c r="M83" s="101">
        <f>I83*10%</f>
        <v>0</v>
      </c>
      <c r="N83" s="115">
        <f>I83</f>
        <v>0</v>
      </c>
      <c r="O83" s="115"/>
      <c r="P83" s="115">
        <f>L83-M83-N83-O83</f>
        <v>0</v>
      </c>
    </row>
    <row r="84" spans="1:16">
      <c r="A84" s="35"/>
      <c r="B84" s="215"/>
      <c r="C84" s="205"/>
      <c r="D84" s="205"/>
      <c r="E84" s="205"/>
      <c r="F84" s="205"/>
      <c r="G84" s="205"/>
      <c r="H84" s="205"/>
      <c r="I84" s="217"/>
      <c r="J84" s="43">
        <f t="shared" ref="J84:J92" si="11">J83+H84-I84</f>
        <v>5425250</v>
      </c>
      <c r="L84" s="104"/>
      <c r="M84" s="50"/>
      <c r="N84" s="104"/>
      <c r="O84" s="104"/>
      <c r="P84" s="104"/>
    </row>
    <row r="85" spans="1:16">
      <c r="A85" s="35"/>
      <c r="B85" s="215"/>
      <c r="C85" s="205"/>
      <c r="D85" s="205"/>
      <c r="E85" s="205"/>
      <c r="F85" s="205"/>
      <c r="G85" s="205"/>
      <c r="H85" s="205"/>
      <c r="I85" s="217"/>
      <c r="J85" s="43">
        <f t="shared" si="11"/>
        <v>5425250</v>
      </c>
      <c r="L85" s="104"/>
      <c r="M85" s="50"/>
      <c r="N85" s="104"/>
      <c r="O85" s="104"/>
      <c r="P85" s="104"/>
    </row>
    <row r="86" spans="1:16">
      <c r="A86" s="35"/>
      <c r="B86" s="215"/>
      <c r="C86" s="205"/>
      <c r="D86" s="205"/>
      <c r="E86" s="205"/>
      <c r="F86" s="205"/>
      <c r="G86" s="205"/>
      <c r="H86" s="205"/>
      <c r="I86" s="217"/>
      <c r="J86" s="43">
        <f t="shared" si="11"/>
        <v>5425250</v>
      </c>
      <c r="L86" s="104"/>
      <c r="M86" s="50"/>
      <c r="N86" s="104"/>
      <c r="O86" s="104"/>
      <c r="P86" s="104"/>
    </row>
    <row r="87" spans="1:16">
      <c r="A87" s="35"/>
      <c r="B87" s="215"/>
      <c r="C87" s="205"/>
      <c r="D87" s="205"/>
      <c r="E87" s="205"/>
      <c r="F87" s="205"/>
      <c r="G87" s="205"/>
      <c r="H87" s="205"/>
      <c r="I87" s="217"/>
      <c r="J87" s="43">
        <f t="shared" si="11"/>
        <v>5425250</v>
      </c>
      <c r="L87" s="104"/>
      <c r="M87" s="50"/>
      <c r="N87" s="104"/>
      <c r="O87" s="104"/>
      <c r="P87" s="104"/>
    </row>
    <row r="88" spans="1:16">
      <c r="A88" s="35"/>
      <c r="B88" s="215"/>
      <c r="C88" s="205"/>
      <c r="D88" s="205"/>
      <c r="E88" s="205"/>
      <c r="F88" s="205"/>
      <c r="G88" s="205"/>
      <c r="H88" s="205"/>
      <c r="I88" s="217"/>
      <c r="J88" s="43">
        <f t="shared" si="11"/>
        <v>5425250</v>
      </c>
    </row>
    <row r="89" spans="1:16">
      <c r="A89" s="35"/>
      <c r="B89" s="215"/>
      <c r="C89" s="205"/>
      <c r="D89" s="205"/>
      <c r="E89" s="205"/>
      <c r="F89" s="205"/>
      <c r="G89" s="205"/>
      <c r="H89" s="205"/>
      <c r="I89" s="217"/>
      <c r="J89" s="43">
        <f t="shared" si="11"/>
        <v>5425250</v>
      </c>
    </row>
    <row r="90" spans="1:16">
      <c r="A90" s="35"/>
      <c r="B90" s="215"/>
      <c r="C90" s="205"/>
      <c r="D90" s="205"/>
      <c r="E90" s="205"/>
      <c r="F90" s="205"/>
      <c r="G90" s="205"/>
      <c r="H90" s="205"/>
      <c r="I90" s="217"/>
      <c r="J90" s="43">
        <f t="shared" si="11"/>
        <v>5425250</v>
      </c>
    </row>
    <row r="91" spans="1:16">
      <c r="A91" s="35"/>
      <c r="B91" s="41"/>
      <c r="C91" s="42"/>
      <c r="D91" s="42"/>
      <c r="E91" s="42"/>
      <c r="F91" s="42"/>
      <c r="G91" s="42"/>
      <c r="H91" s="37"/>
      <c r="I91" s="37"/>
      <c r="J91" s="43">
        <f t="shared" si="11"/>
        <v>5425250</v>
      </c>
    </row>
    <row r="92" spans="1:16">
      <c r="A92" s="35"/>
      <c r="B92" s="41"/>
      <c r="C92" s="42"/>
      <c r="D92" s="42"/>
      <c r="E92" s="42"/>
      <c r="F92" s="42" t="s">
        <v>135</v>
      </c>
      <c r="G92" s="42" t="s">
        <v>135</v>
      </c>
      <c r="H92" s="37">
        <f>(H11+H16+H21+H27+H32+H37+H42+H47+H54+H66+H75+H82)*-10%</f>
        <v>-10007303.200000001</v>
      </c>
      <c r="I92" s="37"/>
      <c r="J92" s="229">
        <f t="shared" si="11"/>
        <v>-4582053.2000000011</v>
      </c>
    </row>
    <row r="93" spans="1:16">
      <c r="A93" s="48"/>
      <c r="B93" s="46" t="s">
        <v>8</v>
      </c>
      <c r="C93" s="97" t="s">
        <v>8</v>
      </c>
      <c r="D93" s="97"/>
      <c r="E93" s="97"/>
      <c r="F93" s="97"/>
      <c r="G93" s="97" t="s">
        <v>9</v>
      </c>
      <c r="H93" s="38">
        <f>SUM(H11:H92)</f>
        <v>90065728.799999997</v>
      </c>
      <c r="I93" s="38">
        <f>SUM(I11:I92)</f>
        <v>94647782</v>
      </c>
      <c r="J93" s="229">
        <f>+H93-I93</f>
        <v>-4582053.200000003</v>
      </c>
    </row>
    <row r="97" spans="7:10">
      <c r="G97" s="39" t="s">
        <v>210</v>
      </c>
      <c r="H97" s="97" t="s">
        <v>5</v>
      </c>
      <c r="I97" s="97" t="s">
        <v>6</v>
      </c>
      <c r="J97" s="97" t="s">
        <v>198</v>
      </c>
    </row>
    <row r="98" spans="7:10">
      <c r="H98" s="144">
        <f>+H93</f>
        <v>90065728.799999997</v>
      </c>
      <c r="I98" s="43">
        <f>+I93</f>
        <v>94647782</v>
      </c>
      <c r="J98" s="143">
        <f>+I98*100/H98</f>
        <v>105.08745475226755</v>
      </c>
    </row>
  </sheetData>
  <autoFilter ref="A8:J93" xr:uid="{00000000-0009-0000-0000-00000F000000}"/>
  <mergeCells count="18">
    <mergeCell ref="B81:J81"/>
    <mergeCell ref="B46:J46"/>
    <mergeCell ref="B41:J41"/>
    <mergeCell ref="B36:J36"/>
    <mergeCell ref="B74:J74"/>
    <mergeCell ref="B31:J31"/>
    <mergeCell ref="B65:J65"/>
    <mergeCell ref="B2:J2"/>
    <mergeCell ref="B3:J3"/>
    <mergeCell ref="B4:J4"/>
    <mergeCell ref="B5:J5"/>
    <mergeCell ref="B6:J6"/>
    <mergeCell ref="B7:J7"/>
    <mergeCell ref="B10:J10"/>
    <mergeCell ref="B15:J15"/>
    <mergeCell ref="B20:J20"/>
    <mergeCell ref="B26:J26"/>
    <mergeCell ref="B53:J53"/>
  </mergeCells>
  <conditionalFormatting sqref="H91:I93">
    <cfRule type="cellIs" dxfId="73" priority="14" operator="lessThan">
      <formula>0</formula>
    </cfRule>
  </conditionalFormatting>
  <conditionalFormatting sqref="H1:J9 H11:J11 J12:J14 H13:J14 J16 H17:J19 H27:I27 H28:J28 H29:I29 H32:J35 H49:I49 H94:J96 H99:J1048576">
    <cfRule type="cellIs" dxfId="72" priority="27" operator="lessThan">
      <formula>0</formula>
    </cfRule>
  </conditionalFormatting>
  <conditionalFormatting sqref="H22:J24 J29:J30 H82:H83">
    <cfRule type="cellIs" dxfId="71" priority="4" operator="lessThan">
      <formula>0</formula>
    </cfRule>
  </conditionalFormatting>
  <conditionalFormatting sqref="H47:J48">
    <cfRule type="cellIs" dxfId="70" priority="24" operator="lessThan">
      <formula>0</formula>
    </cfRule>
  </conditionalFormatting>
  <conditionalFormatting sqref="H54:J64 H66:I71">
    <cfRule type="cellIs" dxfId="69" priority="21" operator="lessThan">
      <formula>0</formula>
    </cfRule>
  </conditionalFormatting>
  <conditionalFormatting sqref="I50">
    <cfRule type="cellIs" dxfId="68" priority="16" operator="lessThan">
      <formula>0</formula>
    </cfRule>
  </conditionalFormatting>
  <conditionalFormatting sqref="I54">
    <cfRule type="cellIs" dxfId="67" priority="7" operator="lessThan">
      <formula>0</formula>
    </cfRule>
  </conditionalFormatting>
  <conditionalFormatting sqref="I76">
    <cfRule type="cellIs" dxfId="66" priority="5" operator="lessThan">
      <formula>0</formula>
    </cfRule>
  </conditionalFormatting>
  <conditionalFormatting sqref="I83">
    <cfRule type="cellIs" dxfId="65" priority="3" operator="lessThan">
      <formula>0</formula>
    </cfRule>
  </conditionalFormatting>
  <conditionalFormatting sqref="I25:J25 H37:J40 H42:J45 J49:J52 H51:I52 I75:J75">
    <cfRule type="cellIs" dxfId="64" priority="23" operator="lessThan">
      <formula>0</formula>
    </cfRule>
  </conditionalFormatting>
  <conditionalFormatting sqref="J66:J73 H75:H76 J76:J79 H77:J80 J82:J93">
    <cfRule type="cellIs" dxfId="63" priority="6" operator="lessThan">
      <formula>0</formula>
    </cfRule>
  </conditionalFormatting>
  <pageMargins left="1.1023622047244095" right="0.70866141732283472" top="0.35433070866141736" bottom="0.35433070866141736" header="0.31496062992125984" footer="0.31496062992125984"/>
  <pageSetup paperSize="14" scale="54" orientation="portrait" r:id="rId1"/>
  <ignoredErrors>
    <ignoredError sqref="O28 O48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106"/>
  <sheetViews>
    <sheetView showGridLines="0" topLeftCell="B62" workbookViewId="0">
      <selection activeCell="P80" sqref="P80"/>
    </sheetView>
  </sheetViews>
  <sheetFormatPr baseColWidth="10" defaultRowHeight="11.25"/>
  <cols>
    <col min="1" max="2" width="11.42578125" style="44"/>
    <col min="3" max="3" width="23.85546875" style="44" customWidth="1"/>
    <col min="4" max="4" width="13.5703125" style="44" bestFit="1" customWidth="1"/>
    <col min="5" max="5" width="11.42578125" style="44"/>
    <col min="6" max="6" width="26.7109375" style="44" customWidth="1"/>
    <col min="7" max="7" width="32.28515625" style="44" customWidth="1"/>
    <col min="8" max="12" width="11.42578125" style="44"/>
    <col min="13" max="13" width="11.42578125" style="50"/>
    <col min="14" max="16384" width="11.42578125" style="44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6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</row>
    <row r="3" spans="1:16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</row>
    <row r="4" spans="1:16">
      <c r="A4" s="35"/>
      <c r="B4" s="335" t="s">
        <v>108</v>
      </c>
      <c r="C4" s="336"/>
      <c r="D4" s="336"/>
      <c r="E4" s="336"/>
      <c r="F4" s="336"/>
      <c r="G4" s="336"/>
      <c r="H4" s="336"/>
      <c r="I4" s="336"/>
      <c r="J4" s="337"/>
    </row>
    <row r="5" spans="1:16">
      <c r="A5" s="35"/>
      <c r="B5" s="335" t="s">
        <v>206</v>
      </c>
      <c r="C5" s="336"/>
      <c r="D5" s="336"/>
      <c r="E5" s="336"/>
      <c r="F5" s="336"/>
      <c r="G5" s="336"/>
      <c r="H5" s="336"/>
      <c r="I5" s="336"/>
      <c r="J5" s="337"/>
    </row>
    <row r="6" spans="1:16">
      <c r="A6" s="35"/>
      <c r="B6" s="335" t="s">
        <v>98</v>
      </c>
      <c r="C6" s="336"/>
      <c r="D6" s="336"/>
      <c r="E6" s="336"/>
      <c r="F6" s="336"/>
      <c r="G6" s="336"/>
      <c r="H6" s="336"/>
      <c r="I6" s="336"/>
      <c r="J6" s="337"/>
    </row>
    <row r="7" spans="1:16">
      <c r="A7" s="35"/>
      <c r="B7" s="335" t="s">
        <v>74</v>
      </c>
      <c r="C7" s="336"/>
      <c r="D7" s="336"/>
      <c r="E7" s="336"/>
      <c r="F7" s="336"/>
      <c r="G7" s="336"/>
      <c r="H7" s="336"/>
      <c r="I7" s="336"/>
      <c r="J7" s="337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>
      <c r="A9" s="35"/>
      <c r="B9" s="41"/>
      <c r="C9" s="42"/>
      <c r="D9" s="42"/>
      <c r="E9" s="42"/>
      <c r="F9" s="42"/>
      <c r="G9" s="42" t="s">
        <v>237</v>
      </c>
      <c r="H9" s="52">
        <f>'[1]F-428'!$J$143</f>
        <v>-7438804.900000006</v>
      </c>
      <c r="I9" s="52"/>
      <c r="J9" s="52">
        <f>+H9-I9</f>
        <v>-7438804.900000006</v>
      </c>
    </row>
    <row r="10" spans="1:16" s="49" customFormat="1" ht="15" customHeight="1">
      <c r="A10" s="48"/>
      <c r="B10" s="330" t="s">
        <v>217</v>
      </c>
      <c r="C10" s="331"/>
      <c r="D10" s="331"/>
      <c r="E10" s="331"/>
      <c r="F10" s="331"/>
      <c r="G10" s="331"/>
      <c r="H10" s="331"/>
      <c r="I10" s="331"/>
      <c r="J10" s="332"/>
      <c r="M10" s="190"/>
    </row>
    <row r="11" spans="1:16">
      <c r="A11" s="35"/>
      <c r="B11" s="41"/>
      <c r="C11" s="42"/>
      <c r="D11" s="42"/>
      <c r="E11" s="42"/>
      <c r="F11" s="42" t="s">
        <v>171</v>
      </c>
      <c r="G11" s="45" t="s">
        <v>171</v>
      </c>
      <c r="H11" s="37">
        <f>SUBVENCION!C14+SUBVENCION!D14</f>
        <v>10207725</v>
      </c>
      <c r="I11" s="37"/>
      <c r="J11" s="43">
        <f>+H11-I11</f>
        <v>10207725</v>
      </c>
      <c r="L11" s="97" t="s">
        <v>5</v>
      </c>
      <c r="M11" s="36" t="s">
        <v>214</v>
      </c>
      <c r="N11" s="97" t="s">
        <v>212</v>
      </c>
      <c r="O11" s="97" t="s">
        <v>213</v>
      </c>
      <c r="P11" s="97" t="s">
        <v>7</v>
      </c>
    </row>
    <row r="12" spans="1:16">
      <c r="A12" s="35"/>
      <c r="B12" s="41"/>
      <c r="C12" s="42"/>
      <c r="D12" s="42"/>
      <c r="E12" s="42"/>
      <c r="F12" s="42" t="s">
        <v>200</v>
      </c>
      <c r="G12" s="45" t="s">
        <v>200</v>
      </c>
      <c r="H12" s="37"/>
      <c r="I12" s="37">
        <v>8493905</v>
      </c>
      <c r="J12" s="43">
        <f>+J11+H12-I12</f>
        <v>1713820</v>
      </c>
      <c r="L12" s="115">
        <f>H11</f>
        <v>10207725</v>
      </c>
      <c r="M12" s="101">
        <f>L12*10%</f>
        <v>1020772.5</v>
      </c>
      <c r="N12" s="115">
        <f>I12</f>
        <v>8493905</v>
      </c>
      <c r="O12" s="115">
        <f>I13</f>
        <v>0</v>
      </c>
      <c r="P12" s="115">
        <f>L12-M12-N12-O12</f>
        <v>693047.5</v>
      </c>
    </row>
    <row r="13" spans="1:16">
      <c r="A13" s="35"/>
      <c r="B13" s="41"/>
      <c r="C13" s="42"/>
      <c r="D13" s="42"/>
      <c r="E13" s="42"/>
      <c r="F13" s="42"/>
      <c r="G13" s="45"/>
      <c r="H13" s="37"/>
      <c r="I13" s="37"/>
      <c r="J13" s="43">
        <f t="shared" ref="J13:J14" si="0">+J12+H13-I13</f>
        <v>1713820</v>
      </c>
    </row>
    <row r="14" spans="1:16">
      <c r="A14" s="35"/>
      <c r="B14" s="41"/>
      <c r="C14" s="42"/>
      <c r="D14" s="42"/>
      <c r="E14" s="42"/>
      <c r="F14" s="42"/>
      <c r="G14" s="45"/>
      <c r="H14" s="37"/>
      <c r="I14" s="37"/>
      <c r="J14" s="43">
        <f t="shared" si="0"/>
        <v>1713820</v>
      </c>
    </row>
    <row r="15" spans="1:16" s="49" customFormat="1" ht="15" customHeight="1">
      <c r="A15" s="48"/>
      <c r="B15" s="330" t="s">
        <v>67</v>
      </c>
      <c r="C15" s="331"/>
      <c r="D15" s="331"/>
      <c r="E15" s="331"/>
      <c r="F15" s="331"/>
      <c r="G15" s="331"/>
      <c r="H15" s="331"/>
      <c r="I15" s="331"/>
      <c r="J15" s="332"/>
      <c r="M15" s="190"/>
    </row>
    <row r="16" spans="1:16">
      <c r="A16" s="35"/>
      <c r="B16" s="41"/>
      <c r="C16" s="42"/>
      <c r="D16" s="42"/>
      <c r="E16" s="42"/>
      <c r="F16" s="42" t="s">
        <v>171</v>
      </c>
      <c r="G16" s="45" t="s">
        <v>171</v>
      </c>
      <c r="H16" s="37">
        <f>SUBVENCION!E14+SUBVENCION!F14</f>
        <v>10816645</v>
      </c>
      <c r="I16" s="37"/>
      <c r="J16" s="43">
        <f>+J14+H16-I16</f>
        <v>12530465</v>
      </c>
      <c r="L16" s="97" t="s">
        <v>5</v>
      </c>
      <c r="M16" s="36" t="s">
        <v>214</v>
      </c>
      <c r="N16" s="97" t="s">
        <v>212</v>
      </c>
      <c r="O16" s="97" t="s">
        <v>213</v>
      </c>
      <c r="P16" s="97" t="s">
        <v>7</v>
      </c>
    </row>
    <row r="17" spans="1:16">
      <c r="A17" s="35"/>
      <c r="B17" s="41"/>
      <c r="C17" s="42"/>
      <c r="D17" s="42"/>
      <c r="E17" s="42"/>
      <c r="F17" s="42" t="s">
        <v>200</v>
      </c>
      <c r="G17" s="45" t="s">
        <v>200</v>
      </c>
      <c r="H17" s="37"/>
      <c r="I17" s="37">
        <v>9283979</v>
      </c>
      <c r="J17" s="43">
        <f>+J16+H17-I17</f>
        <v>3246486</v>
      </c>
      <c r="L17" s="115">
        <f>H16</f>
        <v>10816645</v>
      </c>
      <c r="M17" s="101">
        <f>L17*10%</f>
        <v>1081664.5</v>
      </c>
      <c r="N17" s="115">
        <f>I17</f>
        <v>9283979</v>
      </c>
      <c r="O17" s="115">
        <f>I18</f>
        <v>206000</v>
      </c>
      <c r="P17" s="115">
        <f>L17-M17-N17-O17</f>
        <v>245001.5</v>
      </c>
    </row>
    <row r="18" spans="1:16">
      <c r="A18" s="35"/>
      <c r="B18" s="170">
        <v>46065</v>
      </c>
      <c r="C18" s="42">
        <v>2</v>
      </c>
      <c r="D18" s="42">
        <v>8</v>
      </c>
      <c r="E18" s="42">
        <v>257</v>
      </c>
      <c r="F18" s="42" t="s">
        <v>266</v>
      </c>
      <c r="G18" s="45" t="s">
        <v>267</v>
      </c>
      <c r="H18" s="37"/>
      <c r="I18" s="37">
        <v>206000</v>
      </c>
      <c r="J18" s="43">
        <f>+J17+H18-I18</f>
        <v>3040486</v>
      </c>
      <c r="L18" s="104"/>
      <c r="N18" s="104"/>
      <c r="P18" s="104"/>
    </row>
    <row r="19" spans="1:16" s="49" customFormat="1" ht="15" customHeight="1">
      <c r="A19" s="48"/>
      <c r="B19" s="330" t="s">
        <v>68</v>
      </c>
      <c r="C19" s="331"/>
      <c r="D19" s="331"/>
      <c r="E19" s="331"/>
      <c r="F19" s="331"/>
      <c r="G19" s="331"/>
      <c r="H19" s="331"/>
      <c r="I19" s="331"/>
      <c r="J19" s="332"/>
      <c r="M19" s="190"/>
    </row>
    <row r="20" spans="1:16">
      <c r="A20" s="35"/>
      <c r="B20" s="41"/>
      <c r="C20" s="42"/>
      <c r="D20" s="42"/>
      <c r="E20" s="42"/>
      <c r="F20" s="42" t="s">
        <v>171</v>
      </c>
      <c r="G20" s="45" t="s">
        <v>171</v>
      </c>
      <c r="H20" s="37">
        <f>SUBVENCION!G14+SUBVENCION!H14</f>
        <v>10411879</v>
      </c>
      <c r="I20" s="37"/>
      <c r="J20" s="43">
        <f>+J18+H20-I20</f>
        <v>13452365</v>
      </c>
      <c r="L20" s="97" t="s">
        <v>5</v>
      </c>
      <c r="M20" s="36" t="s">
        <v>214</v>
      </c>
      <c r="N20" s="97" t="s">
        <v>212</v>
      </c>
      <c r="O20" s="97" t="s">
        <v>213</v>
      </c>
      <c r="P20" s="97" t="s">
        <v>7</v>
      </c>
    </row>
    <row r="21" spans="1:16">
      <c r="A21" s="35"/>
      <c r="B21" s="41"/>
      <c r="C21" s="42"/>
      <c r="D21" s="42"/>
      <c r="E21" s="42"/>
      <c r="F21" s="42" t="s">
        <v>200</v>
      </c>
      <c r="G21" s="45" t="s">
        <v>200</v>
      </c>
      <c r="H21" s="37"/>
      <c r="I21" s="37">
        <v>8599698</v>
      </c>
      <c r="J21" s="43">
        <f>+J20+H21-I21</f>
        <v>4852667</v>
      </c>
      <c r="L21" s="115">
        <f>H20</f>
        <v>10411879</v>
      </c>
      <c r="M21" s="101">
        <f>H20*10%</f>
        <v>1041187.9</v>
      </c>
      <c r="N21" s="115">
        <f>I21</f>
        <v>8599698</v>
      </c>
      <c r="O21" s="115">
        <f>I22+I23+I24+I25+I26+I27+I28+I29+I30+I31+I32+I33</f>
        <v>2341684</v>
      </c>
      <c r="P21" s="115">
        <f>L21-M21-N21-O21</f>
        <v>-1570690.9000000004</v>
      </c>
    </row>
    <row r="22" spans="1:16">
      <c r="A22" s="35"/>
      <c r="B22" s="41">
        <v>46084</v>
      </c>
      <c r="C22" s="42">
        <v>8</v>
      </c>
      <c r="D22" s="42">
        <v>28</v>
      </c>
      <c r="E22" s="42">
        <v>214</v>
      </c>
      <c r="F22" s="42" t="s">
        <v>239</v>
      </c>
      <c r="G22" s="45" t="s">
        <v>240</v>
      </c>
      <c r="H22" s="37"/>
      <c r="I22" s="37">
        <v>205330</v>
      </c>
      <c r="J22" s="43">
        <f t="shared" ref="J22:J33" si="1">+J21+H22-I22</f>
        <v>4647337</v>
      </c>
    </row>
    <row r="23" spans="1:16">
      <c r="A23" s="35"/>
      <c r="B23" s="41">
        <v>46084</v>
      </c>
      <c r="C23" s="42">
        <v>7</v>
      </c>
      <c r="D23" s="42">
        <v>27</v>
      </c>
      <c r="E23" s="42">
        <v>215</v>
      </c>
      <c r="F23" s="42" t="s">
        <v>270</v>
      </c>
      <c r="G23" s="45" t="s">
        <v>271</v>
      </c>
      <c r="H23" s="37"/>
      <c r="I23" s="37">
        <v>207870</v>
      </c>
      <c r="J23" s="43">
        <f t="shared" si="1"/>
        <v>4439467</v>
      </c>
    </row>
    <row r="24" spans="1:16">
      <c r="A24" s="35"/>
      <c r="B24" s="41">
        <v>46085</v>
      </c>
      <c r="C24" s="42">
        <v>9</v>
      </c>
      <c r="D24" s="42">
        <v>36</v>
      </c>
      <c r="E24" s="42">
        <v>216</v>
      </c>
      <c r="F24" s="42" t="s">
        <v>279</v>
      </c>
      <c r="G24" s="45" t="s">
        <v>271</v>
      </c>
      <c r="H24" s="37"/>
      <c r="I24" s="37">
        <v>204680</v>
      </c>
      <c r="J24" s="43">
        <f t="shared" si="1"/>
        <v>4234787</v>
      </c>
      <c r="O24" s="104"/>
    </row>
    <row r="25" spans="1:16">
      <c r="B25" s="41">
        <v>46085</v>
      </c>
      <c r="C25" s="42">
        <v>10</v>
      </c>
      <c r="D25" s="42">
        <v>38</v>
      </c>
      <c r="E25" s="42">
        <v>265</v>
      </c>
      <c r="F25" s="42" t="s">
        <v>273</v>
      </c>
      <c r="G25" s="45" t="s">
        <v>240</v>
      </c>
      <c r="H25" s="37"/>
      <c r="I25" s="37">
        <v>203639</v>
      </c>
      <c r="J25" s="43">
        <f t="shared" si="1"/>
        <v>4031148</v>
      </c>
    </row>
    <row r="26" spans="1:16">
      <c r="B26" s="41">
        <v>46087</v>
      </c>
      <c r="C26" s="42">
        <v>12</v>
      </c>
      <c r="D26" s="42">
        <v>61</v>
      </c>
      <c r="E26" s="42">
        <v>262</v>
      </c>
      <c r="F26" s="42" t="s">
        <v>273</v>
      </c>
      <c r="G26" s="45" t="s">
        <v>240</v>
      </c>
      <c r="H26" s="37"/>
      <c r="I26" s="37">
        <v>206582</v>
      </c>
      <c r="J26" s="43">
        <f>+J25+H26-I26</f>
        <v>3824566</v>
      </c>
    </row>
    <row r="27" spans="1:16">
      <c r="B27" s="41">
        <v>46090</v>
      </c>
      <c r="C27" s="42">
        <v>14</v>
      </c>
      <c r="D27" s="42">
        <v>80</v>
      </c>
      <c r="E27" s="42">
        <v>384</v>
      </c>
      <c r="F27" s="42" t="s">
        <v>279</v>
      </c>
      <c r="G27" s="42" t="s">
        <v>279</v>
      </c>
      <c r="H27" s="37"/>
      <c r="I27" s="37">
        <v>203024</v>
      </c>
      <c r="J27" s="43">
        <f>+J26+H27-I27</f>
        <v>3621542</v>
      </c>
    </row>
    <row r="28" spans="1:16">
      <c r="B28" s="41">
        <v>46091</v>
      </c>
      <c r="C28" s="42">
        <v>15</v>
      </c>
      <c r="D28" s="42">
        <v>81</v>
      </c>
      <c r="E28" s="42">
        <v>269</v>
      </c>
      <c r="F28" s="42" t="s">
        <v>273</v>
      </c>
      <c r="G28" s="45" t="s">
        <v>240</v>
      </c>
      <c r="H28" s="37"/>
      <c r="I28" s="37">
        <v>206917</v>
      </c>
      <c r="J28" s="43">
        <f>+J27+H28-I28</f>
        <v>3414625</v>
      </c>
    </row>
    <row r="29" spans="1:16">
      <c r="B29" s="210">
        <v>46092</v>
      </c>
      <c r="C29" s="151">
        <v>17</v>
      </c>
      <c r="D29" s="151" t="s">
        <v>288</v>
      </c>
      <c r="E29" s="151" t="s">
        <v>367</v>
      </c>
      <c r="F29" s="151" t="s">
        <v>306</v>
      </c>
      <c r="G29" s="179" t="s">
        <v>322</v>
      </c>
      <c r="H29" s="113"/>
      <c r="I29" s="113">
        <v>0</v>
      </c>
      <c r="J29" s="43">
        <f>+J28+H29-I29</f>
        <v>3414625</v>
      </c>
    </row>
    <row r="30" spans="1:16">
      <c r="A30" s="44" t="s">
        <v>223</v>
      </c>
      <c r="B30" s="41">
        <v>46092</v>
      </c>
      <c r="C30" s="42">
        <v>16</v>
      </c>
      <c r="D30" s="42">
        <v>105</v>
      </c>
      <c r="E30" s="42">
        <v>382</v>
      </c>
      <c r="F30" s="42" t="s">
        <v>273</v>
      </c>
      <c r="G30" s="45" t="s">
        <v>240</v>
      </c>
      <c r="H30" s="37"/>
      <c r="I30" s="37">
        <v>207700</v>
      </c>
      <c r="J30" s="43">
        <f>+J29+H30-I30</f>
        <v>3206925</v>
      </c>
    </row>
    <row r="31" spans="1:16">
      <c r="B31" s="41">
        <v>46086</v>
      </c>
      <c r="C31" s="42">
        <v>11</v>
      </c>
      <c r="D31" s="42" t="s">
        <v>348</v>
      </c>
      <c r="E31" s="42">
        <v>397</v>
      </c>
      <c r="F31" s="42" t="s">
        <v>273</v>
      </c>
      <c r="G31" s="45" t="s">
        <v>349</v>
      </c>
      <c r="H31" s="37"/>
      <c r="I31" s="37">
        <v>282625</v>
      </c>
      <c r="J31" s="43">
        <f t="shared" si="1"/>
        <v>2924300</v>
      </c>
    </row>
    <row r="32" spans="1:16">
      <c r="B32" s="41">
        <v>46104</v>
      </c>
      <c r="C32" s="42">
        <v>18</v>
      </c>
      <c r="D32" s="42">
        <v>275</v>
      </c>
      <c r="E32" s="42">
        <v>566</v>
      </c>
      <c r="F32" s="42" t="s">
        <v>242</v>
      </c>
      <c r="G32" s="42" t="s">
        <v>242</v>
      </c>
      <c r="H32" s="37"/>
      <c r="I32" s="37">
        <v>205400</v>
      </c>
      <c r="J32" s="43">
        <f t="shared" si="1"/>
        <v>2718900</v>
      </c>
    </row>
    <row r="33" spans="2:16">
      <c r="B33" s="41">
        <v>46104</v>
      </c>
      <c r="C33" s="42">
        <v>20</v>
      </c>
      <c r="D33" s="42">
        <v>276</v>
      </c>
      <c r="E33" s="42">
        <v>577</v>
      </c>
      <c r="F33" s="42" t="s">
        <v>353</v>
      </c>
      <c r="G33" s="42" t="s">
        <v>353</v>
      </c>
      <c r="H33" s="37"/>
      <c r="I33" s="37">
        <v>207917</v>
      </c>
      <c r="J33" s="43">
        <f t="shared" si="1"/>
        <v>2510983</v>
      </c>
    </row>
    <row r="34" spans="2:16" s="49" customFormat="1">
      <c r="B34" s="330" t="s">
        <v>69</v>
      </c>
      <c r="C34" s="331"/>
      <c r="D34" s="331"/>
      <c r="E34" s="331"/>
      <c r="F34" s="331"/>
      <c r="G34" s="331"/>
      <c r="H34" s="331"/>
      <c r="I34" s="331"/>
      <c r="J34" s="332"/>
      <c r="M34" s="190"/>
    </row>
    <row r="35" spans="2:16">
      <c r="B35" s="41"/>
      <c r="C35" s="42"/>
      <c r="D35" s="42"/>
      <c r="E35" s="42"/>
      <c r="F35" s="42" t="s">
        <v>171</v>
      </c>
      <c r="G35" s="45" t="s">
        <v>171</v>
      </c>
      <c r="H35" s="37">
        <f>SUBVENCION!I14+SUBVENCION!J14</f>
        <v>11593863</v>
      </c>
      <c r="I35" s="37"/>
      <c r="J35" s="43">
        <f>+J33+H35-I35</f>
        <v>14104846</v>
      </c>
      <c r="L35" s="97" t="s">
        <v>5</v>
      </c>
      <c r="M35" s="36" t="s">
        <v>214</v>
      </c>
      <c r="N35" s="97" t="s">
        <v>212</v>
      </c>
      <c r="O35" s="97" t="s">
        <v>213</v>
      </c>
      <c r="P35" s="97" t="s">
        <v>7</v>
      </c>
    </row>
    <row r="36" spans="2:16">
      <c r="B36" s="41"/>
      <c r="C36" s="42"/>
      <c r="D36" s="42"/>
      <c r="E36" s="42"/>
      <c r="F36" s="42" t="s">
        <v>200</v>
      </c>
      <c r="G36" s="45" t="s">
        <v>200</v>
      </c>
      <c r="H36" s="37"/>
      <c r="I36" s="37">
        <v>8342843</v>
      </c>
      <c r="J36" s="43">
        <f>+J35+H36-I36</f>
        <v>5762003</v>
      </c>
      <c r="L36" s="115">
        <f>H35</f>
        <v>11593863</v>
      </c>
      <c r="M36" s="101">
        <f>H35*10%</f>
        <v>1159386.3</v>
      </c>
      <c r="N36" s="115">
        <f>I36</f>
        <v>8342843</v>
      </c>
      <c r="O36" s="115">
        <f>I37+I38</f>
        <v>417074</v>
      </c>
      <c r="P36" s="115">
        <f>L36-M36-N36-O36</f>
        <v>1674559.6999999993</v>
      </c>
    </row>
    <row r="37" spans="2:16">
      <c r="B37" s="41">
        <v>46120</v>
      </c>
      <c r="C37" s="42">
        <v>24</v>
      </c>
      <c r="D37" s="42">
        <v>277</v>
      </c>
      <c r="E37" s="42">
        <v>605</v>
      </c>
      <c r="F37" s="42" t="s">
        <v>353</v>
      </c>
      <c r="G37" s="42" t="s">
        <v>353</v>
      </c>
      <c r="H37" s="37"/>
      <c r="I37" s="37">
        <v>208300</v>
      </c>
      <c r="J37" s="43">
        <f t="shared" ref="J37:J38" si="2">+J36+H37-I37</f>
        <v>5553703</v>
      </c>
    </row>
    <row r="38" spans="2:16">
      <c r="B38" s="41">
        <v>46120</v>
      </c>
      <c r="C38" s="42">
        <v>25</v>
      </c>
      <c r="D38" s="42">
        <v>278</v>
      </c>
      <c r="E38" s="42">
        <v>572</v>
      </c>
      <c r="F38" s="42" t="s">
        <v>353</v>
      </c>
      <c r="G38" s="42" t="s">
        <v>353</v>
      </c>
      <c r="H38" s="37"/>
      <c r="I38" s="37">
        <v>208774</v>
      </c>
      <c r="J38" s="43">
        <f t="shared" si="2"/>
        <v>5344929</v>
      </c>
    </row>
    <row r="39" spans="2:16">
      <c r="B39" s="341" t="s">
        <v>120</v>
      </c>
      <c r="C39" s="342"/>
      <c r="D39" s="342"/>
      <c r="E39" s="342"/>
      <c r="F39" s="342"/>
      <c r="G39" s="342"/>
      <c r="H39" s="342"/>
      <c r="I39" s="342"/>
      <c r="J39" s="343"/>
    </row>
    <row r="40" spans="2:16">
      <c r="B40" s="41"/>
      <c r="C40" s="42"/>
      <c r="D40" s="42"/>
      <c r="E40" s="42"/>
      <c r="F40" s="42" t="s">
        <v>171</v>
      </c>
      <c r="G40" s="45" t="s">
        <v>171</v>
      </c>
      <c r="H40" s="37">
        <f>SUBVENCION!K14+SUBVENCION!L14</f>
        <v>11578829</v>
      </c>
      <c r="I40" s="37"/>
      <c r="J40" s="43">
        <f>+J38+H40-I40</f>
        <v>16923758</v>
      </c>
      <c r="L40" s="97" t="s">
        <v>5</v>
      </c>
      <c r="M40" s="36" t="s">
        <v>214</v>
      </c>
      <c r="N40" s="97" t="s">
        <v>212</v>
      </c>
      <c r="O40" s="97" t="s">
        <v>213</v>
      </c>
      <c r="P40" s="97" t="s">
        <v>7</v>
      </c>
    </row>
    <row r="41" spans="2:16">
      <c r="B41" s="41"/>
      <c r="C41" s="42"/>
      <c r="D41" s="42"/>
      <c r="E41" s="42"/>
      <c r="F41" s="42" t="s">
        <v>200</v>
      </c>
      <c r="G41" s="45" t="s">
        <v>200</v>
      </c>
      <c r="H41" s="37"/>
      <c r="I41" s="37">
        <v>8399093</v>
      </c>
      <c r="J41" s="43">
        <f>+J40+H41-I41</f>
        <v>8524665</v>
      </c>
      <c r="L41" s="115">
        <f>H40</f>
        <v>11578829</v>
      </c>
      <c r="M41" s="101">
        <f>L41*10%</f>
        <v>1157882.9000000001</v>
      </c>
      <c r="N41" s="115">
        <f>I41</f>
        <v>8399093</v>
      </c>
      <c r="O41" s="115">
        <f>I42+I43</f>
        <v>411466</v>
      </c>
      <c r="P41" s="115">
        <f>L41-M41-N41-O41</f>
        <v>1610387.0999999996</v>
      </c>
    </row>
    <row r="42" spans="2:16">
      <c r="B42" s="41">
        <v>46153</v>
      </c>
      <c r="C42" s="42">
        <v>28</v>
      </c>
      <c r="D42" s="42">
        <v>431</v>
      </c>
      <c r="E42" s="42">
        <v>991</v>
      </c>
      <c r="F42" s="42" t="s">
        <v>353</v>
      </c>
      <c r="G42" s="42" t="s">
        <v>353</v>
      </c>
      <c r="H42" s="37"/>
      <c r="I42" s="37">
        <v>201450</v>
      </c>
      <c r="J42" s="43">
        <f t="shared" ref="J42:J44" si="3">+J41+H42-I42</f>
        <v>8323215</v>
      </c>
    </row>
    <row r="43" spans="2:16">
      <c r="B43" s="41">
        <v>46153</v>
      </c>
      <c r="C43" s="42">
        <v>29</v>
      </c>
      <c r="D43" s="42">
        <v>432</v>
      </c>
      <c r="E43" s="42">
        <v>826</v>
      </c>
      <c r="F43" s="42" t="s">
        <v>309</v>
      </c>
      <c r="G43" s="45" t="s">
        <v>446</v>
      </c>
      <c r="H43" s="37"/>
      <c r="I43" s="37">
        <v>210016</v>
      </c>
      <c r="J43" s="43">
        <f t="shared" si="3"/>
        <v>8113199</v>
      </c>
    </row>
    <row r="44" spans="2:16">
      <c r="B44" s="41"/>
      <c r="C44" s="42"/>
      <c r="D44" s="42"/>
      <c r="E44" s="42"/>
      <c r="F44" s="42"/>
      <c r="G44" s="45"/>
      <c r="H44" s="37"/>
      <c r="I44" s="37"/>
      <c r="J44" s="43">
        <f t="shared" si="3"/>
        <v>8113199</v>
      </c>
    </row>
    <row r="45" spans="2:16">
      <c r="B45" s="341" t="s">
        <v>129</v>
      </c>
      <c r="C45" s="342"/>
      <c r="D45" s="342"/>
      <c r="E45" s="342"/>
      <c r="F45" s="342"/>
      <c r="G45" s="342"/>
      <c r="H45" s="342"/>
      <c r="I45" s="342"/>
      <c r="J45" s="343"/>
    </row>
    <row r="46" spans="2:16">
      <c r="B46" s="41"/>
      <c r="C46" s="42"/>
      <c r="D46" s="42"/>
      <c r="E46" s="42"/>
      <c r="F46" s="42" t="s">
        <v>171</v>
      </c>
      <c r="G46" s="45" t="s">
        <v>171</v>
      </c>
      <c r="H46" s="37">
        <f>SUBVENCION!M14+SUBVENCION!N14</f>
        <v>12514611</v>
      </c>
      <c r="I46" s="37"/>
      <c r="J46" s="43">
        <f>+J44+H46-I46</f>
        <v>20627810</v>
      </c>
      <c r="L46" s="97" t="s">
        <v>5</v>
      </c>
      <c r="M46" s="36" t="s">
        <v>214</v>
      </c>
      <c r="N46" s="97" t="s">
        <v>212</v>
      </c>
      <c r="O46" s="97" t="s">
        <v>213</v>
      </c>
      <c r="P46" s="97" t="s">
        <v>7</v>
      </c>
    </row>
    <row r="47" spans="2:16">
      <c r="B47" s="41"/>
      <c r="C47" s="42"/>
      <c r="D47" s="42"/>
      <c r="E47" s="42"/>
      <c r="F47" s="42" t="s">
        <v>200</v>
      </c>
      <c r="G47" s="45" t="s">
        <v>200</v>
      </c>
      <c r="H47" s="37"/>
      <c r="I47" s="37">
        <v>8546566</v>
      </c>
      <c r="J47" s="43">
        <f>+J46+H47-I47</f>
        <v>12081244</v>
      </c>
      <c r="L47" s="115">
        <f>H46</f>
        <v>12514611</v>
      </c>
      <c r="M47" s="101">
        <f>L47*10%</f>
        <v>1251461.1000000001</v>
      </c>
      <c r="N47" s="115">
        <f>I47</f>
        <v>8546566</v>
      </c>
      <c r="O47" s="115">
        <f>I48+I49</f>
        <v>407898</v>
      </c>
      <c r="P47" s="115">
        <f>L47-M47-N47-O47</f>
        <v>2308685.9000000004</v>
      </c>
    </row>
    <row r="48" spans="2:16">
      <c r="B48" s="41">
        <v>46175</v>
      </c>
      <c r="C48" s="42">
        <v>33</v>
      </c>
      <c r="D48" s="42">
        <v>521</v>
      </c>
      <c r="E48" s="42">
        <v>957</v>
      </c>
      <c r="F48" s="42" t="s">
        <v>244</v>
      </c>
      <c r="G48" s="45" t="s">
        <v>219</v>
      </c>
      <c r="H48" s="37"/>
      <c r="I48" s="37">
        <v>199998</v>
      </c>
      <c r="J48" s="43">
        <f t="shared" ref="J48:J49" si="4">+J47+H48-I48</f>
        <v>11881246</v>
      </c>
    </row>
    <row r="49" spans="2:16">
      <c r="B49" s="41">
        <v>46175</v>
      </c>
      <c r="C49" s="42">
        <v>34</v>
      </c>
      <c r="D49" s="42">
        <v>522</v>
      </c>
      <c r="E49" s="42">
        <v>1075</v>
      </c>
      <c r="F49" s="42" t="s">
        <v>273</v>
      </c>
      <c r="G49" s="45" t="s">
        <v>240</v>
      </c>
      <c r="H49" s="37"/>
      <c r="I49" s="37">
        <v>207900</v>
      </c>
      <c r="J49" s="43">
        <f t="shared" si="4"/>
        <v>11673346</v>
      </c>
    </row>
    <row r="50" spans="2:16">
      <c r="B50" s="41"/>
      <c r="C50" s="42"/>
      <c r="D50" s="42"/>
      <c r="E50" s="42"/>
      <c r="F50" s="42"/>
      <c r="G50" s="45"/>
      <c r="H50" s="37"/>
      <c r="I50" s="37"/>
      <c r="J50" s="43">
        <f>+J49+H50-I50</f>
        <v>11673346</v>
      </c>
    </row>
    <row r="51" spans="2:16">
      <c r="B51" s="341" t="s">
        <v>65</v>
      </c>
      <c r="C51" s="342"/>
      <c r="D51" s="342"/>
      <c r="E51" s="342"/>
      <c r="F51" s="342"/>
      <c r="G51" s="342"/>
      <c r="H51" s="342"/>
      <c r="I51" s="342"/>
      <c r="J51" s="343"/>
    </row>
    <row r="52" spans="2:16">
      <c r="B52" s="41"/>
      <c r="C52" s="42"/>
      <c r="D52" s="42"/>
      <c r="E52" s="42"/>
      <c r="F52" s="42" t="s">
        <v>171</v>
      </c>
      <c r="G52" s="45" t="s">
        <v>171</v>
      </c>
      <c r="H52" s="37">
        <f>+SUBVENCION!O14+SUBVENCION!P14</f>
        <v>11318239</v>
      </c>
      <c r="I52" s="37"/>
      <c r="J52" s="43">
        <f>+J50+H52-I52</f>
        <v>22991585</v>
      </c>
      <c r="L52" s="97" t="s">
        <v>5</v>
      </c>
      <c r="M52" s="36" t="s">
        <v>214</v>
      </c>
      <c r="N52" s="97" t="s">
        <v>212</v>
      </c>
      <c r="O52" s="97" t="s">
        <v>213</v>
      </c>
      <c r="P52" s="97" t="s">
        <v>7</v>
      </c>
    </row>
    <row r="53" spans="2:16">
      <c r="B53" s="41"/>
      <c r="C53" s="42"/>
      <c r="D53" s="42"/>
      <c r="E53" s="42"/>
      <c r="F53" s="42" t="s">
        <v>200</v>
      </c>
      <c r="G53" s="45" t="s">
        <v>200</v>
      </c>
      <c r="H53" s="37"/>
      <c r="I53" s="37">
        <v>8826673</v>
      </c>
      <c r="J53" s="43">
        <f>+J52+H53-I53</f>
        <v>14164912</v>
      </c>
      <c r="L53" s="115">
        <f>H52</f>
        <v>11318239</v>
      </c>
      <c r="M53" s="101">
        <f>L53*10%</f>
        <v>1131823.9000000001</v>
      </c>
      <c r="N53" s="115">
        <f>I53</f>
        <v>8826673</v>
      </c>
      <c r="O53" s="115">
        <f>+I54+I55+I56+I57+I58+I59</f>
        <v>972741</v>
      </c>
      <c r="P53" s="115">
        <f>L53-M53-N53-O53</f>
        <v>387001.09999999963</v>
      </c>
    </row>
    <row r="54" spans="2:16">
      <c r="B54" s="41">
        <v>46213</v>
      </c>
      <c r="C54" s="42">
        <v>38</v>
      </c>
      <c r="D54" s="42">
        <v>642</v>
      </c>
      <c r="E54" s="42"/>
      <c r="F54" s="42" t="s">
        <v>353</v>
      </c>
      <c r="G54" s="45" t="s">
        <v>501</v>
      </c>
      <c r="H54" s="37"/>
      <c r="I54" s="37">
        <v>51765</v>
      </c>
      <c r="J54" s="43">
        <f t="shared" ref="J54:J59" si="5">+J53+H54-I54</f>
        <v>14113147</v>
      </c>
    </row>
    <row r="55" spans="2:16">
      <c r="B55" s="41">
        <v>46218</v>
      </c>
      <c r="C55" s="42">
        <v>39</v>
      </c>
      <c r="D55" s="42">
        <v>659</v>
      </c>
      <c r="E55" s="42">
        <v>1151</v>
      </c>
      <c r="F55" s="42" t="s">
        <v>273</v>
      </c>
      <c r="G55" s="45" t="s">
        <v>538</v>
      </c>
      <c r="H55" s="37"/>
      <c r="I55" s="37">
        <v>208486</v>
      </c>
      <c r="J55" s="43">
        <f t="shared" si="5"/>
        <v>13904661</v>
      </c>
    </row>
    <row r="56" spans="2:16">
      <c r="B56" s="41">
        <v>46218</v>
      </c>
      <c r="C56" s="42">
        <v>40</v>
      </c>
      <c r="D56" s="42">
        <v>660</v>
      </c>
      <c r="E56" s="42">
        <v>1158</v>
      </c>
      <c r="F56" s="42" t="s">
        <v>539</v>
      </c>
      <c r="G56" s="45" t="s">
        <v>349</v>
      </c>
      <c r="H56" s="37"/>
      <c r="I56" s="37">
        <v>204680</v>
      </c>
      <c r="J56" s="43">
        <f t="shared" si="5"/>
        <v>13699981</v>
      </c>
    </row>
    <row r="57" spans="2:16">
      <c r="B57" s="41">
        <v>46218</v>
      </c>
      <c r="C57" s="42">
        <v>71</v>
      </c>
      <c r="D57" s="42">
        <v>662</v>
      </c>
      <c r="E57" s="42">
        <v>1147</v>
      </c>
      <c r="F57" s="42" t="s">
        <v>270</v>
      </c>
      <c r="G57" s="45" t="s">
        <v>540</v>
      </c>
      <c r="H57" s="37"/>
      <c r="I57" s="37">
        <v>214000</v>
      </c>
      <c r="J57" s="43">
        <f t="shared" si="5"/>
        <v>13485981</v>
      </c>
    </row>
    <row r="58" spans="2:16">
      <c r="B58" s="41">
        <v>46224</v>
      </c>
      <c r="C58" s="42">
        <v>43</v>
      </c>
      <c r="D58" s="42">
        <v>684</v>
      </c>
      <c r="E58" s="42">
        <v>1244</v>
      </c>
      <c r="F58" s="42" t="s">
        <v>250</v>
      </c>
      <c r="G58" s="42" t="s">
        <v>550</v>
      </c>
      <c r="H58" s="37"/>
      <c r="I58" s="37">
        <v>208130</v>
      </c>
      <c r="J58" s="43">
        <f t="shared" si="5"/>
        <v>13277851</v>
      </c>
    </row>
    <row r="59" spans="2:16">
      <c r="B59" s="41">
        <v>46230</v>
      </c>
      <c r="C59" s="42">
        <v>44</v>
      </c>
      <c r="D59" s="42">
        <v>724</v>
      </c>
      <c r="E59" s="42">
        <v>1239</v>
      </c>
      <c r="F59" s="42" t="s">
        <v>270</v>
      </c>
      <c r="G59" s="45" t="s">
        <v>573</v>
      </c>
      <c r="H59" s="37"/>
      <c r="I59" s="37">
        <v>85680</v>
      </c>
      <c r="J59" s="43">
        <f t="shared" si="5"/>
        <v>13192171</v>
      </c>
    </row>
    <row r="60" spans="2:16">
      <c r="B60" s="41"/>
      <c r="C60" s="42"/>
      <c r="D60" s="42"/>
      <c r="E60" s="42"/>
      <c r="F60" s="42"/>
      <c r="G60" s="45"/>
      <c r="H60" s="37"/>
      <c r="I60" s="37"/>
      <c r="J60" s="43">
        <f>+J59+H60-I60</f>
        <v>13192171</v>
      </c>
    </row>
    <row r="61" spans="2:16">
      <c r="B61" s="320" t="s">
        <v>130</v>
      </c>
      <c r="C61" s="321"/>
      <c r="D61" s="321"/>
      <c r="E61" s="321"/>
      <c r="F61" s="321"/>
      <c r="G61" s="321"/>
      <c r="H61" s="321"/>
      <c r="I61" s="321"/>
      <c r="J61" s="322"/>
    </row>
    <row r="62" spans="2:16">
      <c r="B62" s="41"/>
      <c r="C62" s="42"/>
      <c r="D62" s="42"/>
      <c r="E62" s="42"/>
      <c r="F62" s="42" t="s">
        <v>171</v>
      </c>
      <c r="G62" s="45" t="s">
        <v>171</v>
      </c>
      <c r="H62" s="37">
        <f>+SUBVENCION!Q14+SUBVENCION!R14</f>
        <v>11025594</v>
      </c>
      <c r="I62" s="37"/>
      <c r="J62" s="43">
        <f>+J60+H62-I62</f>
        <v>24217765</v>
      </c>
      <c r="L62" s="97" t="s">
        <v>5</v>
      </c>
      <c r="M62" s="36" t="s">
        <v>214</v>
      </c>
      <c r="N62" s="97" t="s">
        <v>212</v>
      </c>
      <c r="O62" s="97" t="s">
        <v>213</v>
      </c>
      <c r="P62" s="97" t="s">
        <v>7</v>
      </c>
    </row>
    <row r="63" spans="2:16">
      <c r="B63" s="41"/>
      <c r="C63" s="42"/>
      <c r="D63" s="42"/>
      <c r="E63" s="42"/>
      <c r="F63" s="42" t="s">
        <v>200</v>
      </c>
      <c r="G63" s="45" t="s">
        <v>200</v>
      </c>
      <c r="H63" s="37"/>
      <c r="I63" s="37">
        <v>8627187</v>
      </c>
      <c r="J63" s="43">
        <f>+J62+H63-I63</f>
        <v>15590578</v>
      </c>
      <c r="L63" s="115">
        <f>H62</f>
        <v>11025594</v>
      </c>
      <c r="M63" s="101">
        <f>L63*10%</f>
        <v>1102559.4000000001</v>
      </c>
      <c r="N63" s="115">
        <f>I63</f>
        <v>8627187</v>
      </c>
      <c r="O63" s="115">
        <f>I64+I65+I66+I67+I68</f>
        <v>1045255</v>
      </c>
      <c r="P63" s="115">
        <f>L63-M63-N63-O63</f>
        <v>250592.59999999963</v>
      </c>
    </row>
    <row r="64" spans="2:16">
      <c r="B64" s="41">
        <v>46238</v>
      </c>
      <c r="C64" s="42">
        <v>45</v>
      </c>
      <c r="D64" s="42">
        <v>763</v>
      </c>
      <c r="E64" s="42"/>
      <c r="F64" s="42" t="s">
        <v>336</v>
      </c>
      <c r="G64" s="45" t="s">
        <v>336</v>
      </c>
      <c r="H64" s="37"/>
      <c r="I64" s="37">
        <v>208488</v>
      </c>
      <c r="J64" s="43">
        <f t="shared" ref="J64:J68" si="6">+J63+H64-I64</f>
        <v>15382090</v>
      </c>
    </row>
    <row r="65" spans="1:16">
      <c r="B65" s="41">
        <v>46259</v>
      </c>
      <c r="C65" s="42">
        <v>49</v>
      </c>
      <c r="D65" s="42">
        <v>860</v>
      </c>
      <c r="E65" s="42">
        <v>1416</v>
      </c>
      <c r="F65" s="42" t="s">
        <v>244</v>
      </c>
      <c r="G65" s="42" t="s">
        <v>219</v>
      </c>
      <c r="H65" s="37"/>
      <c r="I65" s="37">
        <v>200000</v>
      </c>
      <c r="J65" s="43">
        <f t="shared" si="6"/>
        <v>15182090</v>
      </c>
    </row>
    <row r="66" spans="1:16">
      <c r="B66" s="41">
        <v>46261</v>
      </c>
      <c r="C66" s="42">
        <v>51</v>
      </c>
      <c r="D66" s="42">
        <v>883</v>
      </c>
      <c r="E66" s="42"/>
      <c r="F66" s="42" t="s">
        <v>250</v>
      </c>
      <c r="G66" s="42" t="s">
        <v>267</v>
      </c>
      <c r="H66" s="37"/>
      <c r="I66" s="37">
        <v>212040</v>
      </c>
      <c r="J66" s="43">
        <f t="shared" si="6"/>
        <v>14970050</v>
      </c>
    </row>
    <row r="67" spans="1:16">
      <c r="B67" s="41">
        <v>46261</v>
      </c>
      <c r="C67" s="42">
        <v>52</v>
      </c>
      <c r="D67" s="42">
        <v>884</v>
      </c>
      <c r="E67" s="42"/>
      <c r="F67" s="42" t="s">
        <v>250</v>
      </c>
      <c r="G67" s="42" t="s">
        <v>685</v>
      </c>
      <c r="H67" s="37"/>
      <c r="I67" s="37">
        <v>210729</v>
      </c>
      <c r="J67" s="43">
        <f t="shared" si="6"/>
        <v>14759321</v>
      </c>
    </row>
    <row r="68" spans="1:16">
      <c r="B68" s="41">
        <v>46261</v>
      </c>
      <c r="C68" s="42">
        <v>53</v>
      </c>
      <c r="D68" s="42">
        <v>885</v>
      </c>
      <c r="E68" s="42"/>
      <c r="F68" s="42" t="s">
        <v>250</v>
      </c>
      <c r="G68" s="42" t="s">
        <v>686</v>
      </c>
      <c r="H68" s="37"/>
      <c r="I68" s="37">
        <v>213998</v>
      </c>
      <c r="J68" s="43">
        <f t="shared" si="6"/>
        <v>14545323</v>
      </c>
    </row>
    <row r="69" spans="1:16">
      <c r="B69" s="41"/>
      <c r="C69" s="42"/>
      <c r="D69" s="42"/>
      <c r="E69" s="42"/>
      <c r="F69" s="42"/>
      <c r="G69" s="42"/>
      <c r="H69" s="37"/>
      <c r="I69" s="37"/>
      <c r="J69" s="43">
        <f>+H69+J68-I69</f>
        <v>14545323</v>
      </c>
    </row>
    <row r="70" spans="1:16">
      <c r="A70" s="35"/>
      <c r="B70" s="320" t="s">
        <v>131</v>
      </c>
      <c r="C70" s="321"/>
      <c r="D70" s="321"/>
      <c r="E70" s="321"/>
      <c r="F70" s="321"/>
      <c r="G70" s="321"/>
      <c r="H70" s="321"/>
      <c r="I70" s="321"/>
      <c r="J70" s="322"/>
    </row>
    <row r="71" spans="1:16">
      <c r="A71" s="35"/>
      <c r="B71" s="41"/>
      <c r="C71" s="42"/>
      <c r="D71" s="42"/>
      <c r="E71" s="42"/>
      <c r="F71" s="42" t="s">
        <v>171</v>
      </c>
      <c r="G71" s="45" t="s">
        <v>171</v>
      </c>
      <c r="H71" s="37">
        <f>+SUBVENCION!S14+SUBVENCION!T14</f>
        <v>11005594</v>
      </c>
      <c r="I71" s="37"/>
      <c r="J71" s="43">
        <f>+J69+H71-I71</f>
        <v>25550917</v>
      </c>
      <c r="L71" s="97" t="s">
        <v>5</v>
      </c>
      <c r="M71" s="36" t="s">
        <v>214</v>
      </c>
      <c r="N71" s="97" t="s">
        <v>212</v>
      </c>
      <c r="O71" s="97" t="s">
        <v>213</v>
      </c>
      <c r="P71" s="97" t="s">
        <v>7</v>
      </c>
    </row>
    <row r="72" spans="1:16">
      <c r="A72" s="35"/>
      <c r="B72" s="41"/>
      <c r="C72" s="42"/>
      <c r="D72" s="42"/>
      <c r="E72" s="42"/>
      <c r="F72" s="42" t="s">
        <v>200</v>
      </c>
      <c r="G72" s="45" t="s">
        <v>200</v>
      </c>
      <c r="H72" s="37"/>
      <c r="I72" s="37">
        <v>8652751</v>
      </c>
      <c r="J72" s="43">
        <f>+J71+H72-I72</f>
        <v>16898166</v>
      </c>
      <c r="L72" s="115">
        <f>H71</f>
        <v>11005594</v>
      </c>
      <c r="M72" s="101">
        <f>L72*10%</f>
        <v>1100559.4000000001</v>
      </c>
      <c r="N72" s="115">
        <f>I72</f>
        <v>8652751</v>
      </c>
      <c r="O72" s="115">
        <f>SUM(I73:I76)</f>
        <v>421939</v>
      </c>
      <c r="P72" s="115">
        <f>L72-M72-N72-O72</f>
        <v>830344.59999999963</v>
      </c>
    </row>
    <row r="73" spans="1:16">
      <c r="A73" s="35"/>
      <c r="B73" s="41">
        <v>46279</v>
      </c>
      <c r="C73" s="42">
        <v>54</v>
      </c>
      <c r="D73" s="42">
        <v>979</v>
      </c>
      <c r="E73" s="42"/>
      <c r="F73" s="42" t="s">
        <v>242</v>
      </c>
      <c r="G73" s="45" t="s">
        <v>674</v>
      </c>
      <c r="H73" s="37"/>
      <c r="I73" s="37">
        <v>210000</v>
      </c>
      <c r="J73" s="43">
        <f t="shared" ref="J73:J76" si="7">+J72+H73-I73</f>
        <v>16688166</v>
      </c>
    </row>
    <row r="74" spans="1:16">
      <c r="A74" s="35"/>
      <c r="B74" s="41">
        <v>46287</v>
      </c>
      <c r="C74" s="42">
        <v>56</v>
      </c>
      <c r="D74" s="42">
        <v>994</v>
      </c>
      <c r="E74" s="79"/>
      <c r="F74" s="42" t="s">
        <v>250</v>
      </c>
      <c r="G74" s="45" t="s">
        <v>267</v>
      </c>
      <c r="H74" s="37"/>
      <c r="I74" s="37">
        <v>211939</v>
      </c>
      <c r="J74" s="43">
        <f t="shared" si="7"/>
        <v>16476227</v>
      </c>
    </row>
    <row r="75" spans="1:16">
      <c r="A75" s="35"/>
      <c r="B75" s="41"/>
      <c r="C75" s="42"/>
      <c r="D75" s="42"/>
      <c r="E75" s="42"/>
      <c r="F75" s="42"/>
      <c r="G75" s="42"/>
      <c r="H75" s="37"/>
      <c r="I75" s="37"/>
      <c r="J75" s="43">
        <f t="shared" si="7"/>
        <v>16476227</v>
      </c>
    </row>
    <row r="76" spans="1:16">
      <c r="A76" s="35"/>
      <c r="B76" s="41"/>
      <c r="C76" s="42"/>
      <c r="D76" s="42"/>
      <c r="E76" s="42"/>
      <c r="F76" s="42"/>
      <c r="G76" s="42"/>
      <c r="H76" s="37"/>
      <c r="I76" s="37"/>
      <c r="J76" s="43">
        <f t="shared" si="7"/>
        <v>16476227</v>
      </c>
    </row>
    <row r="77" spans="1:16">
      <c r="A77" s="35"/>
      <c r="B77" s="320" t="s">
        <v>132</v>
      </c>
      <c r="C77" s="321"/>
      <c r="D77" s="321"/>
      <c r="E77" s="321"/>
      <c r="F77" s="321"/>
      <c r="G77" s="321"/>
      <c r="H77" s="321"/>
      <c r="I77" s="321"/>
      <c r="J77" s="322"/>
    </row>
    <row r="78" spans="1:16">
      <c r="A78" s="35"/>
      <c r="B78" s="41"/>
      <c r="C78" s="42"/>
      <c r="D78" s="42"/>
      <c r="E78" s="42"/>
      <c r="F78" s="42" t="s">
        <v>171</v>
      </c>
      <c r="G78" s="45" t="s">
        <v>171</v>
      </c>
      <c r="H78" s="37">
        <f>+SUBVENCION!U14+SUBVENCION!V14</f>
        <v>0</v>
      </c>
      <c r="I78" s="37"/>
      <c r="J78" s="43">
        <f>J76+H78-I78</f>
        <v>16476227</v>
      </c>
      <c r="L78" s="97" t="s">
        <v>5</v>
      </c>
      <c r="M78" s="36" t="s">
        <v>214</v>
      </c>
      <c r="N78" s="97" t="s">
        <v>212</v>
      </c>
      <c r="O78" s="97" t="s">
        <v>213</v>
      </c>
      <c r="P78" s="97" t="s">
        <v>7</v>
      </c>
    </row>
    <row r="79" spans="1:16">
      <c r="A79" s="35"/>
      <c r="B79" s="41"/>
      <c r="C79" s="42"/>
      <c r="D79" s="42"/>
      <c r="E79" s="42"/>
      <c r="F79" s="42" t="s">
        <v>200</v>
      </c>
      <c r="G79" s="45" t="s">
        <v>200</v>
      </c>
      <c r="H79" s="37"/>
      <c r="I79" s="37"/>
      <c r="J79" s="43">
        <f>+J78+H79-I79</f>
        <v>16476227</v>
      </c>
      <c r="L79" s="115">
        <f>H78</f>
        <v>0</v>
      </c>
      <c r="M79" s="101">
        <f>L79*10%</f>
        <v>0</v>
      </c>
      <c r="N79" s="115">
        <f>I79</f>
        <v>0</v>
      </c>
      <c r="O79" s="115">
        <f>SUM(I80:I84)</f>
        <v>216134</v>
      </c>
      <c r="P79" s="115">
        <f>L79-M79-N79-O79</f>
        <v>-216134</v>
      </c>
    </row>
    <row r="80" spans="1:16">
      <c r="A80" s="35"/>
      <c r="B80" s="41">
        <v>46296</v>
      </c>
      <c r="C80" s="42">
        <v>58</v>
      </c>
      <c r="D80" s="42">
        <v>1054</v>
      </c>
      <c r="E80" s="79"/>
      <c r="F80" s="42" t="s">
        <v>353</v>
      </c>
      <c r="G80" s="42" t="s">
        <v>353</v>
      </c>
      <c r="H80" s="37"/>
      <c r="I80" s="37">
        <v>216134</v>
      </c>
      <c r="J80" s="43">
        <f t="shared" ref="J80:J83" si="8">+J79+H80-I80</f>
        <v>16260093</v>
      </c>
    </row>
    <row r="81" spans="1:16">
      <c r="A81" s="35"/>
      <c r="B81" s="41"/>
      <c r="C81" s="42"/>
      <c r="D81" s="42"/>
      <c r="E81" s="42"/>
      <c r="F81" s="45"/>
      <c r="G81" s="45"/>
      <c r="H81" s="37"/>
      <c r="I81" s="37"/>
      <c r="J81" s="43">
        <f t="shared" si="8"/>
        <v>16260093</v>
      </c>
    </row>
    <row r="82" spans="1:16">
      <c r="A82" s="35"/>
      <c r="B82" s="41"/>
      <c r="C82" s="42"/>
      <c r="D82" s="42"/>
      <c r="E82" s="42"/>
      <c r="F82" s="42"/>
      <c r="G82" s="42"/>
      <c r="H82" s="37"/>
      <c r="I82" s="37"/>
      <c r="J82" s="43">
        <f>+J81+H82-I82</f>
        <v>16260093</v>
      </c>
    </row>
    <row r="83" spans="1:16">
      <c r="A83" s="35"/>
      <c r="B83" s="41"/>
      <c r="C83" s="42"/>
      <c r="D83" s="42"/>
      <c r="E83" s="42"/>
      <c r="F83" s="45"/>
      <c r="G83" s="42"/>
      <c r="H83" s="37"/>
      <c r="I83" s="37"/>
      <c r="J83" s="43">
        <f t="shared" si="8"/>
        <v>16260093</v>
      </c>
    </row>
    <row r="84" spans="1:16">
      <c r="A84" s="35"/>
      <c r="B84" s="41"/>
      <c r="C84" s="42"/>
      <c r="D84" s="42"/>
      <c r="E84" s="42"/>
      <c r="F84" s="45"/>
      <c r="G84" s="42"/>
      <c r="H84" s="37"/>
      <c r="I84" s="37"/>
      <c r="J84" s="43">
        <f>+J83+H84-I84</f>
        <v>16260093</v>
      </c>
    </row>
    <row r="85" spans="1:16">
      <c r="A85" s="35"/>
      <c r="B85" s="320" t="s">
        <v>133</v>
      </c>
      <c r="C85" s="321"/>
      <c r="D85" s="321"/>
      <c r="E85" s="321"/>
      <c r="F85" s="321"/>
      <c r="G85" s="321"/>
      <c r="H85" s="321"/>
      <c r="I85" s="321"/>
      <c r="J85" s="322"/>
    </row>
    <row r="86" spans="1:16">
      <c r="A86" s="35"/>
      <c r="B86" s="41"/>
      <c r="C86" s="42"/>
      <c r="D86" s="42"/>
      <c r="E86" s="42"/>
      <c r="F86" s="42" t="s">
        <v>171</v>
      </c>
      <c r="G86" s="45" t="s">
        <v>171</v>
      </c>
      <c r="H86" s="37">
        <f>+SUBVENCION!W14+SUBVENCION!X14</f>
        <v>0</v>
      </c>
      <c r="I86" s="37"/>
      <c r="J86" s="43">
        <f>+J84+H86-I86</f>
        <v>16260093</v>
      </c>
      <c r="L86" s="97" t="s">
        <v>5</v>
      </c>
      <c r="M86" s="36" t="s">
        <v>214</v>
      </c>
      <c r="N86" s="97" t="s">
        <v>212</v>
      </c>
      <c r="O86" s="97" t="s">
        <v>213</v>
      </c>
      <c r="P86" s="97" t="s">
        <v>7</v>
      </c>
    </row>
    <row r="87" spans="1:16">
      <c r="A87" s="35"/>
      <c r="B87" s="41"/>
      <c r="C87" s="42"/>
      <c r="D87" s="42"/>
      <c r="E87" s="42"/>
      <c r="F87" s="42" t="s">
        <v>200</v>
      </c>
      <c r="G87" s="45" t="s">
        <v>200</v>
      </c>
      <c r="H87" s="37"/>
      <c r="I87" s="37"/>
      <c r="J87" s="43">
        <f>+J86+H87-I87</f>
        <v>16260093</v>
      </c>
      <c r="L87" s="115"/>
      <c r="M87" s="101"/>
      <c r="N87" s="115"/>
      <c r="O87" s="115"/>
      <c r="P87" s="115"/>
    </row>
    <row r="88" spans="1:16">
      <c r="A88" s="35"/>
      <c r="B88" s="41"/>
      <c r="C88" s="42"/>
      <c r="D88" s="42"/>
      <c r="E88" s="42"/>
      <c r="F88" s="42"/>
      <c r="G88" s="42"/>
      <c r="H88" s="37"/>
      <c r="I88" s="37"/>
      <c r="J88" s="43">
        <f t="shared" ref="J88:J91" si="9">+J87+H88-I88</f>
        <v>16260093</v>
      </c>
    </row>
    <row r="89" spans="1:16">
      <c r="B89" s="41"/>
      <c r="C89" s="42"/>
      <c r="D89" s="42"/>
      <c r="E89" s="42"/>
      <c r="F89" s="45"/>
      <c r="G89" s="42"/>
      <c r="H89" s="37"/>
      <c r="I89" s="37"/>
      <c r="J89" s="43">
        <f t="shared" si="9"/>
        <v>16260093</v>
      </c>
    </row>
    <row r="90" spans="1:16">
      <c r="A90" s="35"/>
      <c r="B90" s="41"/>
      <c r="C90" s="42"/>
      <c r="D90" s="42"/>
      <c r="E90" s="42"/>
      <c r="F90" s="42"/>
      <c r="G90" s="45"/>
      <c r="H90" s="37"/>
      <c r="I90" s="37"/>
      <c r="J90" s="43">
        <f t="shared" si="9"/>
        <v>16260093</v>
      </c>
    </row>
    <row r="91" spans="1:16">
      <c r="A91" s="35"/>
      <c r="B91" s="41"/>
      <c r="C91" s="42"/>
      <c r="D91" s="42"/>
      <c r="E91" s="42"/>
      <c r="F91" s="42"/>
      <c r="G91" s="45"/>
      <c r="H91" s="37"/>
      <c r="I91" s="37"/>
      <c r="J91" s="43">
        <f t="shared" si="9"/>
        <v>16260093</v>
      </c>
    </row>
    <row r="92" spans="1:16">
      <c r="A92" s="35"/>
      <c r="B92" s="320" t="s">
        <v>134</v>
      </c>
      <c r="C92" s="321"/>
      <c r="D92" s="321"/>
      <c r="E92" s="321"/>
      <c r="F92" s="321"/>
      <c r="G92" s="321"/>
      <c r="H92" s="321"/>
      <c r="I92" s="321"/>
      <c r="J92" s="322"/>
    </row>
    <row r="93" spans="1:16">
      <c r="A93" s="35"/>
      <c r="B93" s="41"/>
      <c r="C93" s="42"/>
      <c r="D93" s="42"/>
      <c r="E93" s="42"/>
      <c r="F93" s="42" t="s">
        <v>171</v>
      </c>
      <c r="G93" s="45" t="s">
        <v>171</v>
      </c>
      <c r="H93" s="37">
        <f>+SUBVENCION!Y14+SUBVENCION!Z14</f>
        <v>0</v>
      </c>
      <c r="I93" s="37"/>
      <c r="J93" s="43">
        <f>+J91+H93-I93</f>
        <v>16260093</v>
      </c>
      <c r="L93" s="97" t="s">
        <v>5</v>
      </c>
      <c r="M93" s="36" t="s">
        <v>214</v>
      </c>
      <c r="N93" s="97" t="s">
        <v>212</v>
      </c>
      <c r="O93" s="97" t="s">
        <v>213</v>
      </c>
      <c r="P93" s="97" t="s">
        <v>7</v>
      </c>
    </row>
    <row r="94" spans="1:16">
      <c r="A94" s="35"/>
      <c r="B94" s="41"/>
      <c r="C94" s="42"/>
      <c r="D94" s="42"/>
      <c r="E94" s="42"/>
      <c r="F94" s="42" t="s">
        <v>200</v>
      </c>
      <c r="G94" s="45" t="s">
        <v>200</v>
      </c>
      <c r="H94" s="37"/>
      <c r="I94" s="37"/>
      <c r="J94" s="43">
        <f t="shared" ref="J94:J99" si="10">+J93+H94-I94</f>
        <v>16260093</v>
      </c>
      <c r="L94" s="115"/>
      <c r="M94" s="101"/>
      <c r="N94" s="115"/>
      <c r="O94" s="115"/>
      <c r="P94" s="115"/>
    </row>
    <row r="95" spans="1:16">
      <c r="A95" s="35"/>
      <c r="B95" s="41"/>
      <c r="C95" s="42"/>
      <c r="D95" s="42"/>
      <c r="E95" s="42"/>
      <c r="F95" s="42"/>
      <c r="G95" s="42"/>
      <c r="H95" s="37"/>
      <c r="I95" s="37"/>
      <c r="J95" s="43">
        <f t="shared" si="10"/>
        <v>16260093</v>
      </c>
    </row>
    <row r="96" spans="1:16">
      <c r="A96" s="35"/>
      <c r="B96" s="41"/>
      <c r="C96" s="42"/>
      <c r="D96" s="42"/>
      <c r="E96" s="42"/>
      <c r="F96" s="42"/>
      <c r="G96" s="45"/>
      <c r="H96" s="37"/>
      <c r="I96" s="37"/>
      <c r="J96" s="43">
        <f t="shared" si="10"/>
        <v>16260093</v>
      </c>
    </row>
    <row r="97" spans="1:10">
      <c r="A97" s="35"/>
      <c r="B97" s="41"/>
      <c r="C97" s="42"/>
      <c r="D97" s="42"/>
      <c r="E97" s="42"/>
      <c r="F97" s="42"/>
      <c r="G97" s="45"/>
      <c r="H97" s="37"/>
      <c r="I97" s="37"/>
      <c r="J97" s="43">
        <f t="shared" si="10"/>
        <v>16260093</v>
      </c>
    </row>
    <row r="98" spans="1:10">
      <c r="A98" s="35"/>
      <c r="B98" s="41"/>
      <c r="C98" s="42"/>
      <c r="D98" s="42"/>
      <c r="E98" s="42"/>
      <c r="F98" s="42"/>
      <c r="G98" s="45"/>
      <c r="H98" s="37"/>
      <c r="I98" s="37"/>
      <c r="J98" s="43">
        <f t="shared" si="10"/>
        <v>16260093</v>
      </c>
    </row>
    <row r="99" spans="1:10">
      <c r="A99" s="35"/>
      <c r="B99" s="41"/>
      <c r="C99" s="42"/>
      <c r="D99" s="42"/>
      <c r="E99" s="42"/>
      <c r="F99" s="42" t="s">
        <v>135</v>
      </c>
      <c r="G99" s="42" t="s">
        <v>135</v>
      </c>
      <c r="H99" s="37">
        <f>(H11+H16+H20+H35+H40+H46+H52+H62+H71+H78+H86+H93)*-10%</f>
        <v>-10047297.9</v>
      </c>
      <c r="I99" s="37"/>
      <c r="J99" s="43">
        <f t="shared" si="10"/>
        <v>6212795.0999999996</v>
      </c>
    </row>
    <row r="100" spans="1:10">
      <c r="A100" s="48"/>
      <c r="B100" s="46" t="s">
        <v>8</v>
      </c>
      <c r="C100" s="97" t="s">
        <v>8</v>
      </c>
      <c r="D100" s="97"/>
      <c r="E100" s="97"/>
      <c r="F100" s="97"/>
      <c r="G100" s="97" t="s">
        <v>9</v>
      </c>
      <c r="H100" s="38">
        <f>SUM(H11:H99)</f>
        <v>90425681.099999994</v>
      </c>
      <c r="I100" s="38">
        <f>SUM(I11:I99)</f>
        <v>84212886</v>
      </c>
      <c r="J100" s="38">
        <f>+H100-I100</f>
        <v>6212795.099999994</v>
      </c>
    </row>
    <row r="105" spans="1:10">
      <c r="G105" s="44" t="s">
        <v>210</v>
      </c>
      <c r="H105" s="97" t="s">
        <v>5</v>
      </c>
      <c r="I105" s="97" t="s">
        <v>6</v>
      </c>
      <c r="J105" s="97" t="s">
        <v>198</v>
      </c>
    </row>
    <row r="106" spans="1:10">
      <c r="H106" s="144">
        <f>+H100</f>
        <v>90425681.099999994</v>
      </c>
      <c r="I106" s="43">
        <f>+I100</f>
        <v>84212886</v>
      </c>
      <c r="J106" s="143">
        <f>+I106*100/H106</f>
        <v>93.129390871682361</v>
      </c>
    </row>
  </sheetData>
  <autoFilter ref="A8:J100" xr:uid="{00000000-0009-0000-0000-000010000000}"/>
  <mergeCells count="18">
    <mergeCell ref="B19:J19"/>
    <mergeCell ref="B92:J92"/>
    <mergeCell ref="B45:J45"/>
    <mergeCell ref="B39:J39"/>
    <mergeCell ref="B34:J34"/>
    <mergeCell ref="B85:J85"/>
    <mergeCell ref="B77:J77"/>
    <mergeCell ref="B70:J70"/>
    <mergeCell ref="B61:J61"/>
    <mergeCell ref="B51:J51"/>
    <mergeCell ref="B7:J7"/>
    <mergeCell ref="B15:J15"/>
    <mergeCell ref="B2:J2"/>
    <mergeCell ref="B3:J3"/>
    <mergeCell ref="B4:J4"/>
    <mergeCell ref="B5:J5"/>
    <mergeCell ref="B6:J6"/>
    <mergeCell ref="B10:J10"/>
  </mergeCells>
  <conditionalFormatting sqref="H1:J9 J20:J21 H22:J33 H35:J38 B39 B45 I86:J86 H107:J1048576">
    <cfRule type="cellIs" dxfId="62" priority="25" operator="lessThan">
      <formula>0</formula>
    </cfRule>
  </conditionalFormatting>
  <conditionalFormatting sqref="H11:J14 H20:I25">
    <cfRule type="cellIs" dxfId="61" priority="10" operator="lessThan">
      <formula>0</formula>
    </cfRule>
  </conditionalFormatting>
  <conditionalFormatting sqref="H16:J18">
    <cfRule type="cellIs" dxfId="60" priority="15" operator="lessThan">
      <formula>0</formula>
    </cfRule>
  </conditionalFormatting>
  <conditionalFormatting sqref="H40:J44 B51">
    <cfRule type="cellIs" dxfId="59" priority="23" operator="lessThan">
      <formula>0</formula>
    </cfRule>
  </conditionalFormatting>
  <conditionalFormatting sqref="H46:J50 H52:J60 H62:J69 H86:H87 J87:J91 H88:I91 H93:J104">
    <cfRule type="cellIs" dxfId="58" priority="7" operator="lessThan">
      <formula>0</formula>
    </cfRule>
  </conditionalFormatting>
  <conditionalFormatting sqref="H71:J76">
    <cfRule type="cellIs" dxfId="57" priority="11" operator="lessThan">
      <formula>0</formula>
    </cfRule>
  </conditionalFormatting>
  <conditionalFormatting sqref="H78:J84">
    <cfRule type="cellIs" dxfId="56" priority="14" operator="lessThan">
      <formula>0</formula>
    </cfRule>
  </conditionalFormatting>
  <conditionalFormatting sqref="I87">
    <cfRule type="cellIs" dxfId="55" priority="1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5" scale="36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W83"/>
  <sheetViews>
    <sheetView topLeftCell="A34" workbookViewId="0">
      <pane xSplit="1" topLeftCell="C1" activePane="topRight" state="frozen"/>
      <selection pane="topRight" activeCell="O47" sqref="O47"/>
    </sheetView>
  </sheetViews>
  <sheetFormatPr baseColWidth="10" defaultRowHeight="11.25"/>
  <cols>
    <col min="1" max="5" width="11.42578125" style="44"/>
    <col min="6" max="6" width="22.7109375" style="44" bestFit="1" customWidth="1"/>
    <col min="7" max="7" width="23.42578125" style="44" bestFit="1" customWidth="1"/>
    <col min="8" max="8" width="11.42578125" style="44"/>
    <col min="9" max="9" width="11.42578125" style="39"/>
    <col min="10" max="10" width="11.42578125" style="57"/>
    <col min="11" max="13" width="11.42578125" style="44"/>
    <col min="14" max="15" width="11.42578125" style="181"/>
    <col min="16" max="16384" width="11.42578125" style="44"/>
  </cols>
  <sheetData>
    <row r="1" spans="1:23">
      <c r="A1" s="35"/>
      <c r="B1" s="35"/>
      <c r="C1" s="35"/>
      <c r="D1" s="35"/>
      <c r="E1" s="35"/>
      <c r="F1" s="35"/>
      <c r="G1" s="35"/>
      <c r="H1" s="35"/>
      <c r="I1" s="35"/>
      <c r="J1" s="59"/>
      <c r="K1" s="35"/>
      <c r="L1" s="35"/>
      <c r="M1" s="35"/>
      <c r="N1" s="194"/>
      <c r="O1" s="194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  <c r="K2" s="35"/>
      <c r="L2" s="35"/>
      <c r="M2" s="35"/>
      <c r="N2" s="194"/>
      <c r="O2" s="194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  <c r="K3" s="35"/>
      <c r="L3" s="35"/>
      <c r="M3" s="35"/>
      <c r="N3" s="194"/>
      <c r="O3" s="194"/>
      <c r="P3" s="35"/>
      <c r="Q3" s="35"/>
      <c r="R3" s="35"/>
      <c r="S3" s="35"/>
      <c r="T3" s="35"/>
      <c r="U3" s="35"/>
      <c r="V3" s="35"/>
      <c r="W3" s="35"/>
    </row>
    <row r="4" spans="1:23">
      <c r="A4" s="35"/>
      <c r="B4" s="327" t="s">
        <v>109</v>
      </c>
      <c r="C4" s="328"/>
      <c r="D4" s="328"/>
      <c r="E4" s="328"/>
      <c r="F4" s="328"/>
      <c r="G4" s="328"/>
      <c r="H4" s="328"/>
      <c r="I4" s="328"/>
      <c r="J4" s="329"/>
      <c r="K4" s="35"/>
      <c r="L4" s="35"/>
      <c r="M4" s="35"/>
      <c r="N4" s="194"/>
      <c r="O4" s="194"/>
      <c r="P4" s="35"/>
      <c r="Q4" s="35"/>
      <c r="R4" s="35"/>
      <c r="S4" s="35"/>
      <c r="T4" s="35"/>
      <c r="U4" s="35"/>
      <c r="V4" s="35"/>
      <c r="W4" s="35"/>
    </row>
    <row r="5" spans="1:23">
      <c r="A5" s="35"/>
      <c r="B5" s="327" t="s">
        <v>110</v>
      </c>
      <c r="C5" s="328"/>
      <c r="D5" s="328"/>
      <c r="E5" s="328"/>
      <c r="F5" s="328"/>
      <c r="G5" s="328"/>
      <c r="H5" s="328"/>
      <c r="I5" s="328"/>
      <c r="J5" s="329"/>
      <c r="K5" s="35"/>
      <c r="L5" s="35"/>
      <c r="M5" s="35"/>
      <c r="N5" s="194"/>
      <c r="O5" s="194"/>
      <c r="P5" s="35"/>
      <c r="Q5" s="35"/>
      <c r="R5" s="35"/>
      <c r="S5" s="35"/>
      <c r="T5" s="35"/>
      <c r="U5" s="35"/>
      <c r="V5" s="35"/>
      <c r="W5" s="35"/>
    </row>
    <row r="6" spans="1:23">
      <c r="A6" s="35"/>
      <c r="B6" s="335" t="s">
        <v>98</v>
      </c>
      <c r="C6" s="336"/>
      <c r="D6" s="336"/>
      <c r="E6" s="336"/>
      <c r="F6" s="336"/>
      <c r="G6" s="336"/>
      <c r="H6" s="336"/>
      <c r="I6" s="336"/>
      <c r="J6" s="337"/>
      <c r="K6" s="35"/>
      <c r="L6" s="35"/>
      <c r="M6" s="35"/>
      <c r="N6" s="194"/>
      <c r="O6" s="194"/>
      <c r="P6" s="35"/>
      <c r="Q6" s="35"/>
      <c r="R6" s="35"/>
      <c r="S6" s="35"/>
      <c r="T6" s="35"/>
      <c r="U6" s="35"/>
      <c r="V6" s="35"/>
      <c r="W6" s="35"/>
    </row>
    <row r="7" spans="1:23">
      <c r="A7" s="35"/>
      <c r="B7" s="335" t="s">
        <v>74</v>
      </c>
      <c r="C7" s="336"/>
      <c r="D7" s="336"/>
      <c r="E7" s="336"/>
      <c r="F7" s="336"/>
      <c r="G7" s="336"/>
      <c r="H7" s="336"/>
      <c r="I7" s="336"/>
      <c r="J7" s="337"/>
      <c r="K7" s="35"/>
      <c r="L7" s="35"/>
      <c r="M7" s="35"/>
      <c r="N7" s="194"/>
      <c r="O7" s="194"/>
      <c r="P7" s="35"/>
      <c r="Q7" s="35"/>
      <c r="R7" s="35"/>
      <c r="S7" s="35"/>
      <c r="T7" s="35"/>
      <c r="U7" s="35"/>
      <c r="V7" s="35"/>
      <c r="W7" s="35"/>
    </row>
    <row r="8" spans="1:23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60" t="s">
        <v>7</v>
      </c>
      <c r="K8" s="35"/>
      <c r="L8" s="35"/>
      <c r="M8" s="35"/>
      <c r="N8" s="194"/>
      <c r="O8" s="194"/>
      <c r="P8" s="35"/>
      <c r="Q8" s="35"/>
      <c r="R8" s="35"/>
      <c r="S8" s="35"/>
      <c r="T8" s="35"/>
      <c r="U8" s="35"/>
      <c r="V8" s="35"/>
      <c r="W8" s="35"/>
    </row>
    <row r="9" spans="1:23" s="87" customFormat="1">
      <c r="A9" s="85"/>
      <c r="B9" s="93"/>
      <c r="C9" s="55"/>
      <c r="D9" s="55"/>
      <c r="E9" s="55"/>
      <c r="F9" s="55"/>
      <c r="G9" s="55" t="s">
        <v>237</v>
      </c>
      <c r="H9" s="235">
        <v>-1069156</v>
      </c>
      <c r="I9" s="123"/>
      <c r="J9" s="124">
        <f>+H9-I9</f>
        <v>-1069156</v>
      </c>
      <c r="K9" s="85"/>
      <c r="L9" s="85"/>
      <c r="M9" s="85"/>
      <c r="N9" s="195"/>
      <c r="O9" s="195"/>
      <c r="P9" s="85"/>
      <c r="Q9" s="85"/>
      <c r="R9" s="85"/>
      <c r="S9" s="85"/>
      <c r="T9" s="85"/>
      <c r="U9" s="85"/>
      <c r="V9" s="85"/>
      <c r="W9" s="85"/>
    </row>
    <row r="10" spans="1:23" s="87" customFormat="1">
      <c r="A10" s="85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85"/>
      <c r="L10" s="85"/>
      <c r="M10" s="85"/>
      <c r="N10" s="195"/>
      <c r="O10" s="195"/>
      <c r="P10" s="85"/>
      <c r="Q10" s="85"/>
      <c r="R10" s="85"/>
      <c r="S10" s="85"/>
      <c r="T10" s="85"/>
      <c r="U10" s="85"/>
      <c r="V10" s="85"/>
      <c r="W10" s="85"/>
    </row>
    <row r="11" spans="1:23">
      <c r="A11" s="35"/>
      <c r="B11" s="47"/>
      <c r="C11" s="40"/>
      <c r="D11" s="42"/>
      <c r="E11" s="42"/>
      <c r="F11" s="42" t="s">
        <v>171</v>
      </c>
      <c r="G11" s="45" t="s">
        <v>171</v>
      </c>
      <c r="H11" s="51">
        <f>SUBVENCION!C21</f>
        <v>516671</v>
      </c>
      <c r="I11" s="37"/>
      <c r="J11" s="61">
        <f>+H11-I11</f>
        <v>516671</v>
      </c>
      <c r="K11" s="35"/>
      <c r="L11" s="97" t="s">
        <v>5</v>
      </c>
      <c r="M11" s="36" t="s">
        <v>214</v>
      </c>
      <c r="N11" s="196" t="s">
        <v>212</v>
      </c>
      <c r="O11" s="196" t="s">
        <v>213</v>
      </c>
      <c r="P11" s="97" t="s">
        <v>7</v>
      </c>
      <c r="Q11" s="35"/>
      <c r="R11" s="35"/>
      <c r="S11" s="35"/>
      <c r="T11" s="35"/>
      <c r="U11" s="35"/>
      <c r="V11" s="35"/>
      <c r="W11" s="35"/>
    </row>
    <row r="12" spans="1:23">
      <c r="A12" s="35"/>
      <c r="B12" s="47"/>
      <c r="C12" s="40"/>
      <c r="D12" s="42"/>
      <c r="E12" s="42"/>
      <c r="F12" s="42"/>
      <c r="G12" s="45" t="s">
        <v>199</v>
      </c>
      <c r="H12" s="51"/>
      <c r="I12" s="37">
        <v>325193</v>
      </c>
      <c r="J12" s="61">
        <f>J11+H12-I12</f>
        <v>191478</v>
      </c>
      <c r="K12" s="35"/>
      <c r="L12" s="97"/>
      <c r="M12" s="36"/>
      <c r="N12" s="196"/>
      <c r="O12" s="196"/>
      <c r="P12" s="97"/>
      <c r="Q12" s="35"/>
      <c r="R12" s="35"/>
      <c r="S12" s="35"/>
      <c r="T12" s="35"/>
      <c r="U12" s="35"/>
      <c r="V12" s="35"/>
      <c r="W12" s="35"/>
    </row>
    <row r="13" spans="1:23" s="49" customFormat="1">
      <c r="A13" s="48"/>
      <c r="B13" s="330" t="s">
        <v>67</v>
      </c>
      <c r="C13" s="331"/>
      <c r="D13" s="331"/>
      <c r="E13" s="331"/>
      <c r="F13" s="331"/>
      <c r="G13" s="331"/>
      <c r="H13" s="331"/>
      <c r="I13" s="331"/>
      <c r="J13" s="332"/>
      <c r="K13" s="48"/>
      <c r="L13" s="115">
        <f>H11</f>
        <v>516671</v>
      </c>
      <c r="M13" s="101">
        <f>L13*10%</f>
        <v>51667.100000000006</v>
      </c>
      <c r="N13" s="193">
        <v>0</v>
      </c>
      <c r="O13" s="193">
        <v>0</v>
      </c>
      <c r="P13" s="115">
        <f>L13-M13-O13</f>
        <v>465003.9</v>
      </c>
      <c r="Q13" s="48"/>
      <c r="R13" s="48"/>
      <c r="S13" s="48"/>
      <c r="T13" s="48"/>
      <c r="U13" s="48"/>
      <c r="V13" s="48"/>
      <c r="W13" s="48"/>
    </row>
    <row r="14" spans="1:23">
      <c r="A14" s="35"/>
      <c r="B14" s="47"/>
      <c r="C14" s="40"/>
      <c r="D14" s="42"/>
      <c r="E14" s="42"/>
      <c r="F14" s="42" t="s">
        <v>171</v>
      </c>
      <c r="G14" s="45" t="s">
        <v>171</v>
      </c>
      <c r="H14" s="51">
        <f>SUBVENCION!E21</f>
        <v>547165</v>
      </c>
      <c r="I14" s="37"/>
      <c r="J14" s="61">
        <f>+J12+H14-I14</f>
        <v>738643</v>
      </c>
      <c r="K14" s="35"/>
      <c r="L14" s="97" t="s">
        <v>5</v>
      </c>
      <c r="M14" s="36" t="s">
        <v>214</v>
      </c>
      <c r="N14" s="196" t="s">
        <v>212</v>
      </c>
      <c r="O14" s="196" t="s">
        <v>213</v>
      </c>
      <c r="P14" s="97" t="s">
        <v>7</v>
      </c>
      <c r="Q14" s="35"/>
      <c r="R14" s="35"/>
      <c r="S14" s="35"/>
      <c r="T14" s="35"/>
      <c r="U14" s="35"/>
      <c r="V14" s="35"/>
      <c r="W14" s="35"/>
    </row>
    <row r="15" spans="1:23">
      <c r="A15" s="35"/>
      <c r="B15" s="219"/>
      <c r="C15" s="175"/>
      <c r="D15" s="42"/>
      <c r="E15" s="42"/>
      <c r="F15" s="42"/>
      <c r="G15" s="45" t="s">
        <v>199</v>
      </c>
      <c r="H15" s="51"/>
      <c r="I15" s="12">
        <v>363465</v>
      </c>
      <c r="J15" s="61">
        <f>+J14+H15-I15</f>
        <v>375178</v>
      </c>
      <c r="K15" s="35"/>
      <c r="L15" s="97"/>
      <c r="M15" s="36"/>
      <c r="N15" s="196"/>
      <c r="O15" s="196"/>
      <c r="P15" s="97"/>
      <c r="Q15" s="35"/>
      <c r="R15" s="35"/>
      <c r="S15" s="35"/>
      <c r="T15" s="35"/>
      <c r="U15" s="35"/>
      <c r="V15" s="35"/>
      <c r="W15" s="35"/>
    </row>
    <row r="16" spans="1:23" s="49" customFormat="1">
      <c r="A16" s="48"/>
      <c r="B16" s="330" t="s">
        <v>68</v>
      </c>
      <c r="C16" s="331"/>
      <c r="D16" s="331"/>
      <c r="E16" s="331"/>
      <c r="F16" s="331"/>
      <c r="G16" s="331"/>
      <c r="H16" s="331"/>
      <c r="I16" s="331"/>
      <c r="J16" s="332"/>
      <c r="K16" s="48"/>
      <c r="L16" s="115">
        <f>H14</f>
        <v>547165</v>
      </c>
      <c r="M16" s="101">
        <f>L16*10%</f>
        <v>54716.5</v>
      </c>
      <c r="N16" s="193">
        <v>0</v>
      </c>
      <c r="O16" s="193">
        <v>0</v>
      </c>
      <c r="P16" s="115">
        <f>L16-M16-N16-O16</f>
        <v>492448.5</v>
      </c>
      <c r="Q16" s="48"/>
      <c r="R16" s="48"/>
      <c r="S16" s="48"/>
      <c r="T16" s="48"/>
      <c r="U16" s="48"/>
      <c r="V16" s="48"/>
      <c r="W16" s="48"/>
    </row>
    <row r="17" spans="1:23">
      <c r="A17" s="35"/>
      <c r="B17" s="47"/>
      <c r="C17" s="40"/>
      <c r="D17" s="42"/>
      <c r="E17" s="42"/>
      <c r="F17" s="42" t="s">
        <v>171</v>
      </c>
      <c r="G17" s="45" t="s">
        <v>171</v>
      </c>
      <c r="H17" s="51">
        <f>SUBVENCION!G21</f>
        <v>527003</v>
      </c>
      <c r="I17" s="37"/>
      <c r="J17" s="61">
        <f>+J15+H17-I17</f>
        <v>902181</v>
      </c>
      <c r="K17" s="35"/>
      <c r="L17" s="97" t="s">
        <v>5</v>
      </c>
      <c r="M17" s="36" t="s">
        <v>214</v>
      </c>
      <c r="N17" s="196" t="s">
        <v>212</v>
      </c>
      <c r="O17" s="196" t="s">
        <v>213</v>
      </c>
      <c r="P17" s="97" t="s">
        <v>7</v>
      </c>
      <c r="Q17" s="35"/>
      <c r="R17" s="35"/>
      <c r="S17" s="35"/>
      <c r="T17" s="35"/>
      <c r="U17" s="35"/>
      <c r="V17" s="35"/>
      <c r="W17" s="35"/>
    </row>
    <row r="18" spans="1:23">
      <c r="A18" s="35"/>
      <c r="B18" s="47"/>
      <c r="C18" s="40"/>
      <c r="D18" s="42"/>
      <c r="E18" s="42"/>
      <c r="F18" s="42"/>
      <c r="G18" s="45" t="s">
        <v>199</v>
      </c>
      <c r="H18" s="51"/>
      <c r="I18" s="12"/>
      <c r="J18" s="61">
        <f>+J17+H18-I18</f>
        <v>902181</v>
      </c>
      <c r="K18" s="35"/>
      <c r="L18" s="115">
        <f>H17</f>
        <v>527003</v>
      </c>
      <c r="M18" s="101">
        <f>L18*10%</f>
        <v>52700.3</v>
      </c>
      <c r="N18" s="193">
        <f>I18</f>
        <v>0</v>
      </c>
      <c r="O18" s="193">
        <v>0</v>
      </c>
      <c r="P18" s="115">
        <f>L18-M18-N18-O18</f>
        <v>474302.7</v>
      </c>
      <c r="Q18" s="35"/>
      <c r="R18" s="35"/>
      <c r="S18" s="35"/>
      <c r="T18" s="35"/>
      <c r="U18" s="35"/>
      <c r="V18" s="35"/>
      <c r="W18" s="35"/>
    </row>
    <row r="19" spans="1:23">
      <c r="A19" s="35"/>
      <c r="B19" s="47"/>
      <c r="C19" s="40"/>
      <c r="D19" s="42"/>
      <c r="E19" s="42"/>
      <c r="F19" s="42"/>
      <c r="G19" s="45"/>
      <c r="H19" s="51"/>
      <c r="I19" s="37"/>
      <c r="J19" s="61">
        <f t="shared" ref="J19:J20" si="0">+J18+H19-I19</f>
        <v>902181</v>
      </c>
      <c r="K19" s="35"/>
      <c r="L19" s="35"/>
      <c r="M19" s="35"/>
      <c r="N19" s="194"/>
      <c r="O19" s="194"/>
      <c r="P19" s="35"/>
      <c r="Q19" s="35"/>
      <c r="R19" s="35"/>
      <c r="S19" s="35"/>
      <c r="T19" s="35"/>
      <c r="U19" s="35"/>
      <c r="V19" s="35"/>
      <c r="W19" s="35"/>
    </row>
    <row r="20" spans="1:23">
      <c r="A20" s="35"/>
      <c r="B20" s="47"/>
      <c r="C20" s="40"/>
      <c r="D20" s="40"/>
      <c r="E20" s="40"/>
      <c r="F20" s="42"/>
      <c r="G20" s="45"/>
      <c r="H20" s="51"/>
      <c r="I20" s="37"/>
      <c r="J20" s="61">
        <f t="shared" si="0"/>
        <v>902181</v>
      </c>
      <c r="K20" s="35"/>
      <c r="L20" s="35"/>
      <c r="M20" s="35"/>
      <c r="N20" s="194"/>
      <c r="O20" s="194"/>
      <c r="P20" s="35"/>
      <c r="Q20" s="35"/>
      <c r="R20" s="35"/>
      <c r="S20" s="35"/>
      <c r="T20" s="35"/>
      <c r="U20" s="35"/>
      <c r="V20" s="35"/>
      <c r="W20" s="35"/>
    </row>
    <row r="21" spans="1:23" s="49" customFormat="1">
      <c r="A21" s="48"/>
      <c r="B21" s="330" t="s">
        <v>69</v>
      </c>
      <c r="C21" s="331"/>
      <c r="D21" s="331"/>
      <c r="E21" s="331"/>
      <c r="F21" s="331"/>
      <c r="G21" s="331"/>
      <c r="H21" s="331"/>
      <c r="I21" s="331"/>
      <c r="J21" s="332"/>
      <c r="K21" s="48"/>
      <c r="L21" s="48"/>
      <c r="M21" s="48"/>
      <c r="N21" s="197"/>
      <c r="O21" s="197"/>
      <c r="P21" s="48"/>
      <c r="Q21" s="48"/>
      <c r="R21" s="48"/>
      <c r="S21" s="48"/>
      <c r="T21" s="48"/>
      <c r="U21" s="48"/>
      <c r="V21" s="48"/>
      <c r="W21" s="48"/>
    </row>
    <row r="22" spans="1:23" s="49" customFormat="1">
      <c r="A22" s="48"/>
      <c r="B22" s="40"/>
      <c r="C22" s="40"/>
      <c r="D22" s="40"/>
      <c r="E22" s="40"/>
      <c r="F22" s="42" t="s">
        <v>171</v>
      </c>
      <c r="G22" s="45" t="s">
        <v>171</v>
      </c>
      <c r="H22" s="112">
        <f>SUBVENCION!I21</f>
        <v>501486</v>
      </c>
      <c r="I22" s="40"/>
      <c r="J22" s="149">
        <f>+J20+H22-I22</f>
        <v>1403667</v>
      </c>
      <c r="K22" s="48"/>
      <c r="L22" s="97" t="s">
        <v>5</v>
      </c>
      <c r="M22" s="36" t="s">
        <v>214</v>
      </c>
      <c r="N22" s="196" t="s">
        <v>212</v>
      </c>
      <c r="O22" s="196" t="s">
        <v>213</v>
      </c>
      <c r="P22" s="97" t="s">
        <v>7</v>
      </c>
      <c r="Q22" s="48"/>
      <c r="R22" s="48"/>
      <c r="S22" s="48"/>
      <c r="T22" s="48"/>
      <c r="U22" s="48"/>
      <c r="V22" s="48"/>
      <c r="W22" s="48"/>
    </row>
    <row r="23" spans="1:23" s="49" customFormat="1">
      <c r="A23" s="48"/>
      <c r="B23" s="47"/>
      <c r="C23" s="40"/>
      <c r="D23" s="40"/>
      <c r="E23" s="40"/>
      <c r="F23" s="42" t="s">
        <v>199</v>
      </c>
      <c r="G23" s="45" t="s">
        <v>199</v>
      </c>
      <c r="H23" s="37"/>
      <c r="I23" s="37"/>
      <c r="J23" s="149">
        <f>+J22+H23-I23</f>
        <v>1403667</v>
      </c>
      <c r="K23" s="48"/>
      <c r="L23" s="115">
        <f>H22</f>
        <v>501486</v>
      </c>
      <c r="M23" s="101">
        <f>L23*10%</f>
        <v>50148.600000000006</v>
      </c>
      <c r="N23" s="37">
        <v>324433</v>
      </c>
      <c r="O23" s="193">
        <v>0</v>
      </c>
      <c r="P23" s="115">
        <f>L23-M23-N23-O23</f>
        <v>126904.40000000002</v>
      </c>
      <c r="Q23" s="48"/>
      <c r="R23" s="48"/>
      <c r="S23" s="48"/>
      <c r="T23" s="48"/>
      <c r="U23" s="48"/>
      <c r="V23" s="48"/>
      <c r="W23" s="48"/>
    </row>
    <row r="24" spans="1:23" s="49" customFormat="1">
      <c r="A24" s="48"/>
      <c r="B24" s="330" t="s">
        <v>120</v>
      </c>
      <c r="C24" s="331"/>
      <c r="D24" s="331"/>
      <c r="E24" s="331"/>
      <c r="F24" s="331"/>
      <c r="G24" s="331"/>
      <c r="H24" s="331"/>
      <c r="I24" s="331"/>
      <c r="J24" s="332"/>
      <c r="K24" s="48"/>
      <c r="L24" s="48"/>
      <c r="M24" s="48"/>
      <c r="N24" s="197"/>
      <c r="O24" s="197"/>
      <c r="P24" s="48"/>
      <c r="Q24" s="48"/>
      <c r="R24" s="48"/>
      <c r="S24" s="48"/>
      <c r="T24" s="48"/>
      <c r="U24" s="48"/>
      <c r="V24" s="48"/>
      <c r="W24" s="48"/>
    </row>
    <row r="25" spans="1:23">
      <c r="A25" s="35"/>
      <c r="B25" s="47"/>
      <c r="C25" s="40"/>
      <c r="D25" s="42"/>
      <c r="E25" s="40"/>
      <c r="F25" s="42" t="s">
        <v>171</v>
      </c>
      <c r="G25" s="45" t="s">
        <v>171</v>
      </c>
      <c r="H25" s="51">
        <f>SUBVENCION!K21</f>
        <v>501486</v>
      </c>
      <c r="I25" s="37"/>
      <c r="J25" s="61">
        <f>+J23+H25-I25</f>
        <v>1905153</v>
      </c>
      <c r="K25" s="35"/>
      <c r="L25" s="97" t="s">
        <v>5</v>
      </c>
      <c r="M25" s="36" t="s">
        <v>214</v>
      </c>
      <c r="N25" s="196" t="s">
        <v>212</v>
      </c>
      <c r="O25" s="196" t="s">
        <v>213</v>
      </c>
      <c r="P25" s="97" t="s">
        <v>7</v>
      </c>
      <c r="Q25" s="35"/>
      <c r="R25" s="35"/>
      <c r="S25" s="35"/>
      <c r="T25" s="35"/>
      <c r="U25" s="35"/>
      <c r="V25" s="35"/>
      <c r="W25" s="35"/>
    </row>
    <row r="26" spans="1:23">
      <c r="A26" s="35"/>
      <c r="B26" s="47"/>
      <c r="C26" s="40"/>
      <c r="D26" s="40"/>
      <c r="E26" s="40"/>
      <c r="F26" s="61"/>
      <c r="G26" s="61"/>
      <c r="H26" s="61"/>
      <c r="I26" s="61"/>
      <c r="J26" s="61">
        <f>+J25+H26-I26</f>
        <v>1905153</v>
      </c>
      <c r="K26" s="35"/>
      <c r="L26" s="35"/>
      <c r="M26" s="35"/>
      <c r="N26" s="194"/>
      <c r="O26" s="194"/>
      <c r="P26" s="35"/>
      <c r="Q26" s="35"/>
      <c r="R26" s="35"/>
      <c r="S26" s="35"/>
      <c r="T26" s="35"/>
      <c r="U26" s="35"/>
      <c r="V26" s="35"/>
      <c r="W26" s="35"/>
    </row>
    <row r="27" spans="1:23">
      <c r="A27" s="35"/>
      <c r="B27" s="341" t="s">
        <v>129</v>
      </c>
      <c r="C27" s="342"/>
      <c r="D27" s="342"/>
      <c r="E27" s="342"/>
      <c r="F27" s="342"/>
      <c r="G27" s="342"/>
      <c r="H27" s="342"/>
      <c r="I27" s="342"/>
      <c r="J27" s="343"/>
      <c r="K27" s="35"/>
      <c r="L27" s="35"/>
      <c r="M27" s="35"/>
      <c r="N27" s="194"/>
      <c r="O27" s="194"/>
      <c r="P27" s="35"/>
      <c r="Q27" s="35"/>
      <c r="R27" s="35"/>
      <c r="S27" s="35"/>
      <c r="T27" s="35"/>
      <c r="U27" s="35"/>
      <c r="V27" s="35"/>
      <c r="W27" s="35"/>
    </row>
    <row r="28" spans="1:23">
      <c r="A28" s="35"/>
      <c r="B28" s="47"/>
      <c r="C28" s="52"/>
      <c r="D28" s="52"/>
      <c r="E28" s="52"/>
      <c r="F28" s="42" t="s">
        <v>171</v>
      </c>
      <c r="G28" s="45" t="s">
        <v>171</v>
      </c>
      <c r="H28" s="277">
        <f>SUBVENCION!M21</f>
        <v>482994</v>
      </c>
      <c r="I28" s="64"/>
      <c r="J28" s="110">
        <f>+J26+H28-I28</f>
        <v>2388147</v>
      </c>
      <c r="K28" s="35"/>
      <c r="L28" s="97" t="s">
        <v>5</v>
      </c>
      <c r="M28" s="36" t="s">
        <v>214</v>
      </c>
      <c r="N28" s="196" t="s">
        <v>212</v>
      </c>
      <c r="O28" s="196" t="s">
        <v>213</v>
      </c>
      <c r="P28" s="97" t="s">
        <v>7</v>
      </c>
      <c r="Q28" s="35"/>
      <c r="R28" s="35"/>
      <c r="S28" s="35"/>
      <c r="T28" s="35"/>
      <c r="U28" s="35"/>
      <c r="V28" s="35"/>
      <c r="W28" s="35"/>
    </row>
    <row r="29" spans="1:23">
      <c r="A29" s="35"/>
      <c r="B29" s="47"/>
      <c r="C29" s="52"/>
      <c r="D29" s="52"/>
      <c r="E29" s="52"/>
      <c r="F29" s="43" t="s">
        <v>199</v>
      </c>
      <c r="G29" s="43" t="s">
        <v>199</v>
      </c>
      <c r="H29" s="52"/>
      <c r="I29" s="110"/>
      <c r="J29" s="110">
        <f>+J28+H29-I29</f>
        <v>2388147</v>
      </c>
      <c r="K29" s="35"/>
      <c r="L29" s="115">
        <f>H28</f>
        <v>482994</v>
      </c>
      <c r="M29" s="101">
        <f>L29*10%</f>
        <v>48299.4</v>
      </c>
      <c r="N29" s="193">
        <f>I29</f>
        <v>0</v>
      </c>
      <c r="O29" s="193">
        <f>I30+I31</f>
        <v>0</v>
      </c>
      <c r="P29" s="115">
        <f>L29-M29-O29</f>
        <v>434694.6</v>
      </c>
      <c r="Q29" s="35"/>
      <c r="R29" s="35"/>
      <c r="S29" s="35"/>
      <c r="T29" s="35"/>
      <c r="U29" s="35"/>
      <c r="V29" s="35"/>
      <c r="W29" s="35"/>
    </row>
    <row r="30" spans="1:23">
      <c r="A30" s="35"/>
      <c r="B30" s="47"/>
      <c r="C30" s="52"/>
      <c r="D30" s="52"/>
      <c r="E30" s="52"/>
      <c r="F30" s="43"/>
      <c r="G30" s="43"/>
      <c r="H30" s="52"/>
      <c r="I30" s="110"/>
      <c r="J30" s="110">
        <f t="shared" ref="J30:J31" si="1">+J29+H30-I30</f>
        <v>2388147</v>
      </c>
      <c r="K30" s="35"/>
      <c r="L30" s="35"/>
      <c r="M30" s="35"/>
      <c r="N30" s="194"/>
      <c r="O30" s="194"/>
      <c r="P30" s="35"/>
      <c r="Q30" s="35"/>
      <c r="R30" s="35"/>
      <c r="S30" s="35"/>
      <c r="T30" s="35"/>
      <c r="U30" s="35"/>
      <c r="V30" s="35"/>
      <c r="W30" s="35"/>
    </row>
    <row r="31" spans="1:23">
      <c r="A31" s="35"/>
      <c r="B31" s="47"/>
      <c r="C31" s="52"/>
      <c r="D31" s="52"/>
      <c r="E31" s="52"/>
      <c r="F31" s="43"/>
      <c r="G31" s="43"/>
      <c r="H31" s="52"/>
      <c r="I31" s="110"/>
      <c r="J31" s="110">
        <f t="shared" si="1"/>
        <v>2388147</v>
      </c>
      <c r="K31" s="35"/>
      <c r="L31" s="35"/>
      <c r="M31" s="35"/>
      <c r="N31" s="194"/>
      <c r="O31" s="194"/>
      <c r="P31" s="35"/>
      <c r="Q31" s="35"/>
      <c r="R31" s="35"/>
      <c r="S31" s="35"/>
      <c r="T31" s="35"/>
      <c r="U31" s="35"/>
      <c r="V31" s="35"/>
      <c r="W31" s="35"/>
    </row>
    <row r="32" spans="1:23">
      <c r="B32" s="341" t="s">
        <v>65</v>
      </c>
      <c r="C32" s="342"/>
      <c r="D32" s="342"/>
      <c r="E32" s="342"/>
      <c r="F32" s="342"/>
      <c r="G32" s="342"/>
      <c r="H32" s="342"/>
      <c r="I32" s="342"/>
      <c r="J32" s="343"/>
    </row>
    <row r="33" spans="2:16">
      <c r="B33" s="36"/>
      <c r="C33" s="36"/>
      <c r="D33" s="36"/>
      <c r="E33" s="36"/>
      <c r="F33" s="42" t="s">
        <v>171</v>
      </c>
      <c r="G33" s="45" t="s">
        <v>171</v>
      </c>
      <c r="H33" s="116">
        <f>+SUBVENCION!O21+SUBVENCION!P21</f>
        <v>508511</v>
      </c>
      <c r="I33" s="36"/>
      <c r="J33" s="110">
        <f>+J31+H33-I33</f>
        <v>2896658</v>
      </c>
      <c r="L33" s="97" t="s">
        <v>5</v>
      </c>
      <c r="M33" s="36" t="s">
        <v>214</v>
      </c>
      <c r="N33" s="196" t="s">
        <v>212</v>
      </c>
      <c r="O33" s="196" t="s">
        <v>213</v>
      </c>
      <c r="P33" s="97" t="s">
        <v>7</v>
      </c>
    </row>
    <row r="34" spans="2:16">
      <c r="B34" s="36"/>
      <c r="C34" s="36"/>
      <c r="D34" s="36"/>
      <c r="E34" s="36"/>
      <c r="F34" s="43" t="s">
        <v>199</v>
      </c>
      <c r="G34" s="43" t="s">
        <v>199</v>
      </c>
      <c r="H34" s="116"/>
      <c r="I34" s="52"/>
      <c r="J34" s="110">
        <f>+J33+H34-I34</f>
        <v>2896658</v>
      </c>
      <c r="L34" s="115">
        <f>H33</f>
        <v>508511</v>
      </c>
      <c r="M34" s="101">
        <f>L34*10%</f>
        <v>50851.100000000006</v>
      </c>
      <c r="N34" s="193">
        <f>I34</f>
        <v>0</v>
      </c>
      <c r="O34" s="193">
        <f>I35+I36+I37+I38</f>
        <v>801220</v>
      </c>
      <c r="P34" s="115">
        <f>L34-M34-N34-O34</f>
        <v>-343560.1</v>
      </c>
    </row>
    <row r="35" spans="2:16">
      <c r="B35" s="47">
        <v>46224</v>
      </c>
      <c r="C35" s="52">
        <v>2</v>
      </c>
      <c r="D35" s="52">
        <v>728</v>
      </c>
      <c r="E35" s="52">
        <v>1347</v>
      </c>
      <c r="F35" s="43" t="s">
        <v>554</v>
      </c>
      <c r="G35" s="43" t="s">
        <v>555</v>
      </c>
      <c r="H35" s="52"/>
      <c r="I35" s="52">
        <v>189900</v>
      </c>
      <c r="J35" s="110">
        <f t="shared" ref="J35:J39" si="2">+J34+H35-I35</f>
        <v>2706758</v>
      </c>
    </row>
    <row r="36" spans="2:16">
      <c r="B36" s="47">
        <v>46225</v>
      </c>
      <c r="C36" s="52">
        <v>3</v>
      </c>
      <c r="D36" s="52">
        <v>729</v>
      </c>
      <c r="E36" s="52">
        <v>1237</v>
      </c>
      <c r="F36" s="43" t="s">
        <v>517</v>
      </c>
      <c r="G36" s="43" t="s">
        <v>516</v>
      </c>
      <c r="H36" s="52"/>
      <c r="I36" s="52">
        <v>214600</v>
      </c>
      <c r="J36" s="110">
        <f t="shared" si="2"/>
        <v>2492158</v>
      </c>
    </row>
    <row r="37" spans="2:16">
      <c r="B37" s="47">
        <v>46225</v>
      </c>
      <c r="C37" s="52">
        <v>4</v>
      </c>
      <c r="D37" s="52">
        <v>730</v>
      </c>
      <c r="E37" s="52">
        <v>1248</v>
      </c>
      <c r="F37" s="43" t="s">
        <v>250</v>
      </c>
      <c r="G37" s="43" t="s">
        <v>575</v>
      </c>
      <c r="H37" s="52"/>
      <c r="I37" s="52">
        <v>198900</v>
      </c>
      <c r="J37" s="110">
        <f t="shared" si="2"/>
        <v>2293258</v>
      </c>
    </row>
    <row r="38" spans="2:16">
      <c r="B38" s="47">
        <v>46225</v>
      </c>
      <c r="C38" s="52">
        <v>5</v>
      </c>
      <c r="D38" s="52">
        <v>731</v>
      </c>
      <c r="E38" s="52">
        <v>1247</v>
      </c>
      <c r="F38" s="43" t="s">
        <v>519</v>
      </c>
      <c r="G38" s="43" t="s">
        <v>483</v>
      </c>
      <c r="H38" s="52"/>
      <c r="I38" s="52">
        <v>197820</v>
      </c>
      <c r="J38" s="110">
        <f t="shared" si="2"/>
        <v>2095438</v>
      </c>
    </row>
    <row r="39" spans="2:16">
      <c r="B39" s="47"/>
      <c r="C39" s="52"/>
      <c r="D39" s="52"/>
      <c r="E39" s="52"/>
      <c r="F39" s="43"/>
      <c r="G39" s="43"/>
      <c r="H39" s="52"/>
      <c r="I39" s="52"/>
      <c r="J39" s="110">
        <f t="shared" si="2"/>
        <v>2095438</v>
      </c>
    </row>
    <row r="40" spans="2:16">
      <c r="B40" s="320" t="s">
        <v>130</v>
      </c>
      <c r="C40" s="321"/>
      <c r="D40" s="321"/>
      <c r="E40" s="321"/>
      <c r="F40" s="321"/>
      <c r="G40" s="321"/>
      <c r="H40" s="321"/>
      <c r="I40" s="321"/>
      <c r="J40" s="322"/>
      <c r="L40" s="50"/>
    </row>
    <row r="41" spans="2:16">
      <c r="B41" s="46"/>
      <c r="C41" s="46"/>
      <c r="D41" s="46"/>
      <c r="E41" s="46"/>
      <c r="F41" s="42" t="s">
        <v>171</v>
      </c>
      <c r="G41" s="45" t="s">
        <v>171</v>
      </c>
      <c r="H41" s="52">
        <f>+SUBVENCION!Q21+SUBVENCION!R21</f>
        <v>508511</v>
      </c>
      <c r="I41" s="52"/>
      <c r="J41" s="112">
        <f>+J39+H41-I41</f>
        <v>2603949</v>
      </c>
      <c r="L41" s="97" t="s">
        <v>5</v>
      </c>
      <c r="M41" s="36" t="s">
        <v>214</v>
      </c>
      <c r="N41" s="196" t="s">
        <v>212</v>
      </c>
      <c r="O41" s="196" t="s">
        <v>213</v>
      </c>
      <c r="P41" s="97" t="s">
        <v>7</v>
      </c>
    </row>
    <row r="42" spans="2:16">
      <c r="B42" s="46"/>
      <c r="C42" s="46"/>
      <c r="D42" s="52"/>
      <c r="E42" s="46"/>
      <c r="F42" s="43" t="s">
        <v>199</v>
      </c>
      <c r="G42" s="43" t="s">
        <v>199</v>
      </c>
      <c r="H42" s="52"/>
      <c r="I42" s="52"/>
      <c r="J42" s="112">
        <f>+J41+H42-I42</f>
        <v>2603949</v>
      </c>
      <c r="L42" s="115">
        <f>H41</f>
        <v>508511</v>
      </c>
      <c r="M42" s="101">
        <f>L42*10%</f>
        <v>50851.100000000006</v>
      </c>
      <c r="N42" s="193">
        <f>I42</f>
        <v>0</v>
      </c>
      <c r="O42" s="193">
        <f>I43+I42</f>
        <v>0</v>
      </c>
      <c r="P42" s="115">
        <f>L42-M42-N42-O42</f>
        <v>457659.9</v>
      </c>
    </row>
    <row r="43" spans="2:16">
      <c r="B43" s="47"/>
      <c r="C43" s="52"/>
      <c r="D43" s="52"/>
      <c r="E43" s="52"/>
      <c r="F43" s="43"/>
      <c r="G43" s="43"/>
      <c r="H43" s="52"/>
      <c r="I43" s="52"/>
      <c r="J43" s="112">
        <f>+J42-H43+I43</f>
        <v>2603949</v>
      </c>
    </row>
    <row r="44" spans="2:16">
      <c r="B44" s="320" t="s">
        <v>131</v>
      </c>
      <c r="C44" s="321"/>
      <c r="D44" s="321"/>
      <c r="E44" s="321"/>
      <c r="F44" s="321"/>
      <c r="G44" s="321"/>
      <c r="H44" s="321"/>
      <c r="I44" s="321"/>
      <c r="J44" s="322"/>
    </row>
    <row r="45" spans="2:16">
      <c r="B45" s="47"/>
      <c r="C45" s="40"/>
      <c r="D45" s="40"/>
      <c r="E45" s="40"/>
      <c r="F45" s="42" t="s">
        <v>171</v>
      </c>
      <c r="G45" s="45" t="s">
        <v>171</v>
      </c>
      <c r="H45" s="116">
        <f>+SUBVENCION!S21+SUBVENCION!T21</f>
        <v>508511</v>
      </c>
      <c r="I45" s="64"/>
      <c r="J45" s="61">
        <f>+J43+H45-I45</f>
        <v>3112460</v>
      </c>
      <c r="L45" s="97" t="s">
        <v>5</v>
      </c>
      <c r="M45" s="36" t="s">
        <v>214</v>
      </c>
      <c r="N45" s="196" t="s">
        <v>212</v>
      </c>
      <c r="O45" s="196" t="s">
        <v>213</v>
      </c>
      <c r="P45" s="97" t="s">
        <v>7</v>
      </c>
    </row>
    <row r="46" spans="2:16">
      <c r="B46" s="47"/>
      <c r="C46" s="40"/>
      <c r="D46" s="40"/>
      <c r="E46" s="40"/>
      <c r="F46" s="42" t="s">
        <v>199</v>
      </c>
      <c r="G46" s="43" t="s">
        <v>199</v>
      </c>
      <c r="H46" s="116"/>
      <c r="I46" s="64"/>
      <c r="J46" s="61">
        <f>J45+H46-I46</f>
        <v>3112460</v>
      </c>
      <c r="L46" s="115">
        <f>H45</f>
        <v>508511</v>
      </c>
      <c r="M46" s="101">
        <f>L46*10%</f>
        <v>50851.100000000006</v>
      </c>
      <c r="N46" s="193">
        <f>I46</f>
        <v>0</v>
      </c>
      <c r="O46" s="193">
        <f>SUM(I47:I49)</f>
        <v>317870</v>
      </c>
      <c r="P46" s="115">
        <f>L46-M46-N46-O46</f>
        <v>139789.90000000002</v>
      </c>
    </row>
    <row r="47" spans="2:16">
      <c r="B47" s="162">
        <v>46273</v>
      </c>
      <c r="C47" s="40">
        <v>7</v>
      </c>
      <c r="D47" s="40">
        <v>955</v>
      </c>
      <c r="E47" s="40"/>
      <c r="F47" s="42" t="s">
        <v>250</v>
      </c>
      <c r="G47" s="42" t="s">
        <v>250</v>
      </c>
      <c r="H47" s="42"/>
      <c r="I47" s="64">
        <v>214940</v>
      </c>
      <c r="J47" s="61">
        <f>J46+H47-I47</f>
        <v>2897520</v>
      </c>
    </row>
    <row r="48" spans="2:16">
      <c r="B48" s="162">
        <v>46273</v>
      </c>
      <c r="C48" s="40">
        <v>8</v>
      </c>
      <c r="D48" s="40">
        <v>966</v>
      </c>
      <c r="E48" s="40"/>
      <c r="F48" s="42" t="s">
        <v>728</v>
      </c>
      <c r="G48" s="42" t="s">
        <v>729</v>
      </c>
      <c r="H48" s="42"/>
      <c r="I48" s="64">
        <v>102930</v>
      </c>
      <c r="J48" s="61">
        <f t="shared" ref="J48:J50" si="3">J47+H48-I48</f>
        <v>2794590</v>
      </c>
    </row>
    <row r="49" spans="2:16">
      <c r="B49" s="162"/>
      <c r="C49" s="40"/>
      <c r="D49" s="40"/>
      <c r="E49" s="40"/>
      <c r="F49" s="43"/>
      <c r="G49" s="42"/>
      <c r="H49" s="42"/>
      <c r="I49" s="64"/>
      <c r="J49" s="61">
        <f t="shared" si="3"/>
        <v>2794590</v>
      </c>
    </row>
    <row r="50" spans="2:16">
      <c r="B50" s="174"/>
      <c r="C50" s="175"/>
      <c r="D50" s="175"/>
      <c r="E50" s="175"/>
      <c r="F50" s="171"/>
      <c r="G50" s="171"/>
      <c r="H50" s="171"/>
      <c r="I50" s="176"/>
      <c r="J50" s="61">
        <f t="shared" si="3"/>
        <v>2794590</v>
      </c>
    </row>
    <row r="51" spans="2:16">
      <c r="B51" s="320" t="s">
        <v>132</v>
      </c>
      <c r="C51" s="321"/>
      <c r="D51" s="321"/>
      <c r="E51" s="321"/>
      <c r="F51" s="321"/>
      <c r="G51" s="321"/>
      <c r="H51" s="321"/>
      <c r="I51" s="321"/>
      <c r="J51" s="322"/>
    </row>
    <row r="52" spans="2:16">
      <c r="B52" s="46"/>
      <c r="C52" s="46"/>
      <c r="D52" s="46"/>
      <c r="E52" s="46"/>
      <c r="F52" s="42" t="s">
        <v>171</v>
      </c>
      <c r="G52" s="45" t="s">
        <v>171</v>
      </c>
      <c r="H52" s="116">
        <f>+SUBVENCION!U21+SUBVENCION!V21</f>
        <v>0</v>
      </c>
      <c r="I52" s="46"/>
      <c r="J52" s="61">
        <f>+J50+H52-I52</f>
        <v>2794590</v>
      </c>
      <c r="L52" s="97" t="s">
        <v>5</v>
      </c>
      <c r="M52" s="36" t="s">
        <v>214</v>
      </c>
      <c r="N52" s="196" t="s">
        <v>212</v>
      </c>
      <c r="O52" s="196" t="s">
        <v>213</v>
      </c>
      <c r="P52" s="97" t="s">
        <v>7</v>
      </c>
    </row>
    <row r="53" spans="2:16">
      <c r="B53" s="162"/>
      <c r="C53" s="40"/>
      <c r="D53" s="40"/>
      <c r="E53" s="40"/>
      <c r="F53" s="43" t="s">
        <v>199</v>
      </c>
      <c r="G53" s="116" t="s">
        <v>199</v>
      </c>
      <c r="H53" s="64"/>
      <c r="I53" s="64"/>
      <c r="J53" s="61">
        <f>+J52+H53-I53</f>
        <v>2794590</v>
      </c>
      <c r="L53" s="115">
        <f>H52</f>
        <v>0</v>
      </c>
      <c r="M53" s="101">
        <f>L53*10%</f>
        <v>0</v>
      </c>
      <c r="N53" s="193">
        <f>I53</f>
        <v>0</v>
      </c>
      <c r="O53" s="193">
        <f>I54+I55</f>
        <v>0</v>
      </c>
      <c r="P53" s="115">
        <f>L53-M53-N53-O53</f>
        <v>0</v>
      </c>
    </row>
    <row r="54" spans="2:16">
      <c r="B54" s="162"/>
      <c r="C54" s="40"/>
      <c r="D54" s="40"/>
      <c r="E54" s="40"/>
      <c r="F54" s="43"/>
      <c r="G54" s="42"/>
      <c r="H54" s="42"/>
      <c r="I54" s="64"/>
      <c r="J54" s="61">
        <f>+J53+H54-I54</f>
        <v>2794590</v>
      </c>
    </row>
    <row r="55" spans="2:16">
      <c r="B55" s="162"/>
      <c r="C55" s="40"/>
      <c r="D55" s="40"/>
      <c r="E55" s="40"/>
      <c r="F55" s="42"/>
      <c r="G55" s="42"/>
      <c r="H55" s="42"/>
      <c r="I55" s="64"/>
      <c r="J55" s="61">
        <f t="shared" ref="J55:J57" si="4">+J54+H55-I55</f>
        <v>2794590</v>
      </c>
    </row>
    <row r="56" spans="2:16">
      <c r="B56" s="162"/>
      <c r="C56" s="40"/>
      <c r="D56" s="40"/>
      <c r="E56" s="40"/>
      <c r="F56" s="42"/>
      <c r="G56" s="42"/>
      <c r="H56" s="42"/>
      <c r="I56" s="64"/>
      <c r="J56" s="61">
        <f t="shared" si="4"/>
        <v>2794590</v>
      </c>
    </row>
    <row r="57" spans="2:16">
      <c r="B57" s="47"/>
      <c r="C57" s="40"/>
      <c r="D57" s="40"/>
      <c r="E57" s="40"/>
      <c r="F57" s="42"/>
      <c r="G57" s="42"/>
      <c r="H57" s="125"/>
      <c r="I57" s="212"/>
      <c r="J57" s="61">
        <f t="shared" si="4"/>
        <v>2794590</v>
      </c>
    </row>
    <row r="58" spans="2:16">
      <c r="B58" s="320" t="s">
        <v>133</v>
      </c>
      <c r="C58" s="321"/>
      <c r="D58" s="321"/>
      <c r="E58" s="321"/>
      <c r="F58" s="321"/>
      <c r="G58" s="321"/>
      <c r="H58" s="321"/>
      <c r="I58" s="321"/>
      <c r="J58" s="322"/>
    </row>
    <row r="59" spans="2:16">
      <c r="B59" s="47"/>
      <c r="C59" s="40"/>
      <c r="D59" s="40"/>
      <c r="E59" s="40"/>
      <c r="F59" s="42" t="s">
        <v>171</v>
      </c>
      <c r="G59" s="45" t="s">
        <v>171</v>
      </c>
      <c r="H59" s="116">
        <f>+SUBVENCION!W21+SUBVENCION!X21</f>
        <v>0</v>
      </c>
      <c r="I59" s="64"/>
      <c r="J59" s="61">
        <f>+J57+H59-I59</f>
        <v>2794590</v>
      </c>
      <c r="L59" s="97" t="s">
        <v>5</v>
      </c>
      <c r="M59" s="36" t="s">
        <v>214</v>
      </c>
      <c r="N59" s="196" t="s">
        <v>212</v>
      </c>
      <c r="O59" s="196" t="s">
        <v>213</v>
      </c>
      <c r="P59" s="97" t="s">
        <v>7</v>
      </c>
    </row>
    <row r="60" spans="2:16">
      <c r="B60" s="47"/>
      <c r="C60" s="40"/>
      <c r="D60" s="40"/>
      <c r="E60" s="40"/>
      <c r="F60" s="43" t="s">
        <v>199</v>
      </c>
      <c r="G60" s="116" t="s">
        <v>199</v>
      </c>
      <c r="H60" s="125"/>
      <c r="I60" s="64"/>
      <c r="J60" s="61">
        <f t="shared" ref="J60:J75" si="5">+J59+H60-I60</f>
        <v>2794590</v>
      </c>
      <c r="L60" s="115">
        <f>H59</f>
        <v>0</v>
      </c>
      <c r="M60" s="101">
        <f>L60*10%</f>
        <v>0</v>
      </c>
      <c r="N60" s="193">
        <f>I60</f>
        <v>0</v>
      </c>
      <c r="O60" s="193"/>
      <c r="P60" s="115">
        <f>L60-M60-N60-O60</f>
        <v>0</v>
      </c>
    </row>
    <row r="61" spans="2:16">
      <c r="B61" s="47"/>
      <c r="C61" s="40"/>
      <c r="D61" s="40"/>
      <c r="E61" s="40"/>
      <c r="F61" s="42"/>
      <c r="G61" s="45"/>
      <c r="H61" s="37"/>
      <c r="I61" s="61"/>
      <c r="J61" s="61">
        <f t="shared" si="5"/>
        <v>2794590</v>
      </c>
    </row>
    <row r="62" spans="2:16">
      <c r="B62" s="47"/>
      <c r="C62" s="40"/>
      <c r="D62" s="40"/>
      <c r="E62" s="40"/>
      <c r="F62" s="43"/>
      <c r="G62" s="42"/>
      <c r="H62" s="37"/>
      <c r="I62" s="37"/>
      <c r="J62" s="61">
        <f t="shared" si="5"/>
        <v>2794590</v>
      </c>
    </row>
    <row r="63" spans="2:16">
      <c r="B63" s="47"/>
      <c r="C63" s="40"/>
      <c r="D63" s="40"/>
      <c r="E63" s="40"/>
      <c r="F63" s="42"/>
      <c r="G63" s="42"/>
      <c r="H63" s="37"/>
      <c r="I63" s="37"/>
      <c r="J63" s="61">
        <f t="shared" si="5"/>
        <v>2794590</v>
      </c>
    </row>
    <row r="64" spans="2:16">
      <c r="B64" s="47"/>
      <c r="C64" s="40"/>
      <c r="D64" s="40"/>
      <c r="E64" s="40"/>
      <c r="F64" s="42"/>
      <c r="G64" s="42"/>
      <c r="H64" s="37"/>
      <c r="I64" s="37"/>
      <c r="J64" s="61">
        <f t="shared" si="5"/>
        <v>2794590</v>
      </c>
    </row>
    <row r="65" spans="1:23">
      <c r="B65" s="47"/>
      <c r="C65" s="40"/>
      <c r="D65" s="40"/>
      <c r="E65" s="40"/>
      <c r="F65" s="42"/>
      <c r="G65" s="42"/>
      <c r="H65" s="37"/>
      <c r="I65" s="37"/>
      <c r="J65" s="61">
        <f t="shared" si="5"/>
        <v>2794590</v>
      </c>
    </row>
    <row r="66" spans="1:23">
      <c r="B66" s="47"/>
      <c r="C66" s="40"/>
      <c r="D66" s="40"/>
      <c r="E66" s="40"/>
      <c r="F66" s="42"/>
      <c r="G66" s="42"/>
      <c r="H66" s="125"/>
      <c r="I66" s="212"/>
      <c r="J66" s="61">
        <f t="shared" si="5"/>
        <v>2794590</v>
      </c>
    </row>
    <row r="67" spans="1:23">
      <c r="B67" s="47"/>
      <c r="C67" s="40"/>
      <c r="D67" s="40"/>
      <c r="E67" s="40"/>
      <c r="F67" s="42"/>
      <c r="G67" s="45"/>
      <c r="H67" s="37"/>
      <c r="I67" s="37"/>
      <c r="J67" s="61">
        <f t="shared" si="5"/>
        <v>2794590</v>
      </c>
    </row>
    <row r="68" spans="1:23">
      <c r="B68" s="41"/>
      <c r="C68" s="42"/>
      <c r="D68" s="42"/>
      <c r="E68" s="42"/>
      <c r="F68" s="42"/>
      <c r="G68" s="45"/>
      <c r="H68" s="37"/>
      <c r="I68" s="37"/>
      <c r="J68" s="61">
        <f t="shared" si="5"/>
        <v>2794590</v>
      </c>
    </row>
    <row r="69" spans="1:23">
      <c r="B69" s="41"/>
      <c r="C69" s="42"/>
      <c r="D69" s="42"/>
      <c r="E69" s="42"/>
      <c r="F69" s="42"/>
      <c r="G69" s="45"/>
      <c r="H69" s="37"/>
      <c r="I69" s="37"/>
      <c r="J69" s="61">
        <f t="shared" si="5"/>
        <v>2794590</v>
      </c>
    </row>
    <row r="70" spans="1:23">
      <c r="B70" s="320" t="s">
        <v>134</v>
      </c>
      <c r="C70" s="321"/>
      <c r="D70" s="321"/>
      <c r="E70" s="321"/>
      <c r="F70" s="321"/>
      <c r="G70" s="321"/>
      <c r="H70" s="321"/>
      <c r="I70" s="321"/>
      <c r="J70" s="322"/>
    </row>
    <row r="71" spans="1:23">
      <c r="B71" s="47"/>
      <c r="C71" s="40"/>
      <c r="D71" s="40"/>
      <c r="E71" s="40"/>
      <c r="F71" s="42" t="s">
        <v>171</v>
      </c>
      <c r="G71" s="45" t="s">
        <v>171</v>
      </c>
      <c r="H71" s="37">
        <f>+SUBVENCION!Y21+SUBVENCION!Z21</f>
        <v>0</v>
      </c>
      <c r="I71" s="37"/>
      <c r="J71" s="61">
        <f>+J69+H71-I71</f>
        <v>2794590</v>
      </c>
      <c r="L71" s="97" t="s">
        <v>5</v>
      </c>
      <c r="M71" s="36" t="s">
        <v>214</v>
      </c>
      <c r="N71" s="196" t="s">
        <v>212</v>
      </c>
      <c r="O71" s="196" t="s">
        <v>213</v>
      </c>
      <c r="P71" s="97" t="s">
        <v>7</v>
      </c>
    </row>
    <row r="72" spans="1:23">
      <c r="B72" s="47"/>
      <c r="C72" s="40"/>
      <c r="D72" s="40"/>
      <c r="E72" s="40"/>
      <c r="F72" s="43" t="s">
        <v>199</v>
      </c>
      <c r="G72" s="116" t="s">
        <v>199</v>
      </c>
      <c r="H72" s="37"/>
      <c r="I72" s="37"/>
      <c r="J72" s="61">
        <f t="shared" si="5"/>
        <v>2794590</v>
      </c>
      <c r="L72" s="115">
        <f>H71</f>
        <v>0</v>
      </c>
      <c r="M72" s="101">
        <f>L72*10%</f>
        <v>0</v>
      </c>
      <c r="N72" s="193">
        <f>I72</f>
        <v>0</v>
      </c>
      <c r="O72" s="193"/>
      <c r="P72" s="115">
        <f>L72-M72-N72-O72</f>
        <v>0</v>
      </c>
    </row>
    <row r="73" spans="1:23">
      <c r="B73" s="47"/>
      <c r="C73" s="40"/>
      <c r="D73" s="40"/>
      <c r="E73" s="40"/>
      <c r="F73" s="42"/>
      <c r="G73" s="45"/>
      <c r="H73" s="37"/>
      <c r="I73" s="37"/>
      <c r="J73" s="61">
        <f t="shared" si="5"/>
        <v>2794590</v>
      </c>
    </row>
    <row r="74" spans="1:23">
      <c r="B74" s="47"/>
      <c r="C74" s="40"/>
      <c r="D74" s="40"/>
      <c r="E74" s="40"/>
      <c r="F74" s="42"/>
      <c r="G74" s="45"/>
      <c r="H74" s="37"/>
      <c r="I74" s="37"/>
      <c r="J74" s="61">
        <f t="shared" si="5"/>
        <v>2794590</v>
      </c>
    </row>
    <row r="75" spans="1:23">
      <c r="A75" s="35"/>
      <c r="B75" s="47"/>
      <c r="C75" s="40"/>
      <c r="D75" s="40"/>
      <c r="E75" s="40"/>
      <c r="F75" s="40"/>
      <c r="G75" s="45"/>
      <c r="H75" s="37"/>
      <c r="I75" s="37"/>
      <c r="J75" s="61">
        <f t="shared" si="5"/>
        <v>2794590</v>
      </c>
      <c r="K75" s="35"/>
      <c r="L75" s="35"/>
      <c r="M75" s="35"/>
      <c r="N75" s="194"/>
      <c r="O75" s="194"/>
      <c r="P75" s="35"/>
      <c r="Q75" s="35"/>
      <c r="R75" s="35"/>
      <c r="S75" s="35"/>
      <c r="T75" s="35"/>
      <c r="U75" s="35"/>
      <c r="V75" s="35"/>
      <c r="W75" s="35"/>
    </row>
    <row r="76" spans="1:23">
      <c r="A76" s="35"/>
      <c r="B76" s="47"/>
      <c r="C76" s="40"/>
      <c r="D76" s="40"/>
      <c r="E76" s="40"/>
      <c r="F76" s="40" t="s">
        <v>135</v>
      </c>
      <c r="G76" s="45" t="s">
        <v>135</v>
      </c>
      <c r="H76" s="37">
        <f>(H11+H14+H17+H22+H25+H28+H33+H45+H52+H59+H41+H71)*-10%</f>
        <v>-460233.80000000005</v>
      </c>
      <c r="I76" s="37"/>
      <c r="J76" s="61">
        <f>+J75+H76-I76</f>
        <v>2334356.2000000002</v>
      </c>
      <c r="K76" s="35"/>
      <c r="L76" s="35"/>
      <c r="M76" s="35"/>
      <c r="N76" s="194"/>
      <c r="O76" s="194"/>
      <c r="P76" s="35"/>
      <c r="Q76" s="35"/>
      <c r="R76" s="35"/>
      <c r="S76" s="35"/>
      <c r="T76" s="35"/>
      <c r="U76" s="35"/>
      <c r="V76" s="35"/>
      <c r="W76" s="35"/>
    </row>
    <row r="77" spans="1:23">
      <c r="A77" s="48"/>
      <c r="B77" s="46" t="s">
        <v>8</v>
      </c>
      <c r="C77" s="97" t="s">
        <v>8</v>
      </c>
      <c r="D77" s="97"/>
      <c r="E77" s="97"/>
      <c r="F77" s="97"/>
      <c r="G77" s="97" t="s">
        <v>9</v>
      </c>
      <c r="H77" s="38">
        <f>SUM(H11:H76)</f>
        <v>4142104.2</v>
      </c>
      <c r="I77" s="38">
        <f>SUM(I11:I76)</f>
        <v>1807748</v>
      </c>
      <c r="J77" s="63">
        <f>+H77-I77</f>
        <v>2334356.2000000002</v>
      </c>
      <c r="K77" s="48"/>
      <c r="L77" s="48"/>
      <c r="M77" s="48"/>
      <c r="N77" s="197"/>
      <c r="O77" s="197"/>
      <c r="P77" s="48"/>
      <c r="Q77" s="48"/>
      <c r="R77" s="48"/>
      <c r="S77" s="48"/>
      <c r="T77" s="48"/>
      <c r="U77" s="48"/>
      <c r="V77" s="48"/>
      <c r="W77" s="48"/>
    </row>
    <row r="82" spans="7:10">
      <c r="G82" s="44" t="s">
        <v>210</v>
      </c>
      <c r="H82" s="97" t="s">
        <v>5</v>
      </c>
      <c r="I82" s="97" t="s">
        <v>6</v>
      </c>
      <c r="J82" s="97" t="s">
        <v>198</v>
      </c>
    </row>
    <row r="83" spans="7:10">
      <c r="H83" s="146">
        <f>+H77</f>
        <v>4142104.2</v>
      </c>
      <c r="I83" s="43">
        <f>+I77</f>
        <v>1807748</v>
      </c>
      <c r="J83" s="143">
        <f>+I83*100/H83</f>
        <v>43.643228482760044</v>
      </c>
    </row>
  </sheetData>
  <mergeCells count="18">
    <mergeCell ref="B7:J7"/>
    <mergeCell ref="B10:J10"/>
    <mergeCell ref="B13:J13"/>
    <mergeCell ref="B16:J16"/>
    <mergeCell ref="B21:J21"/>
    <mergeCell ref="B2:J2"/>
    <mergeCell ref="B3:J3"/>
    <mergeCell ref="B4:J4"/>
    <mergeCell ref="B5:J5"/>
    <mergeCell ref="B6:J6"/>
    <mergeCell ref="B24:J24"/>
    <mergeCell ref="B40:J40"/>
    <mergeCell ref="B32:J32"/>
    <mergeCell ref="B70:J70"/>
    <mergeCell ref="B27:J27"/>
    <mergeCell ref="B58:J58"/>
    <mergeCell ref="B51:J51"/>
    <mergeCell ref="B44:J44"/>
  </mergeCells>
  <conditionalFormatting sqref="H23:I23 J25:J40 F26:I26 J44:J69">
    <cfRule type="cellIs" dxfId="54" priority="2" operator="lessThan">
      <formula>0</formula>
    </cfRule>
  </conditionalFormatting>
  <conditionalFormatting sqref="H68:I69">
    <cfRule type="cellIs" dxfId="53" priority="5" operator="lessThan">
      <formula>0</formula>
    </cfRule>
  </conditionalFormatting>
  <conditionalFormatting sqref="J1:J23 J71:J81 J84:J1048576">
    <cfRule type="cellIs" dxfId="52" priority="11" operator="lessThan">
      <formula>0</formula>
    </cfRule>
  </conditionalFormatting>
  <conditionalFormatting sqref="N23">
    <cfRule type="cellIs" dxfId="51" priority="1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2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117"/>
  <sheetViews>
    <sheetView showGridLines="0" topLeftCell="B69" workbookViewId="0">
      <selection activeCell="P69" sqref="P69"/>
    </sheetView>
  </sheetViews>
  <sheetFormatPr baseColWidth="10" defaultRowHeight="11.25"/>
  <cols>
    <col min="1" max="5" width="11.42578125" style="44"/>
    <col min="6" max="6" width="22.7109375" style="44" bestFit="1" customWidth="1"/>
    <col min="7" max="7" width="26" style="44" customWidth="1"/>
    <col min="8" max="16384" width="11.42578125" style="44"/>
  </cols>
  <sheetData>
    <row r="1" spans="1:20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0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0">
      <c r="A4" s="35"/>
      <c r="B4" s="335" t="s">
        <v>112</v>
      </c>
      <c r="C4" s="336"/>
      <c r="D4" s="336"/>
      <c r="E4" s="336"/>
      <c r="F4" s="336"/>
      <c r="G4" s="336"/>
      <c r="H4" s="336"/>
      <c r="I4" s="336"/>
      <c r="J4" s="337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5"/>
      <c r="B5" s="335" t="s">
        <v>111</v>
      </c>
      <c r="C5" s="336"/>
      <c r="D5" s="336"/>
      <c r="E5" s="336"/>
      <c r="F5" s="336"/>
      <c r="G5" s="336"/>
      <c r="H5" s="336"/>
      <c r="I5" s="336"/>
      <c r="J5" s="337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1:20">
      <c r="A6" s="35"/>
      <c r="B6" s="335" t="s">
        <v>113</v>
      </c>
      <c r="C6" s="336"/>
      <c r="D6" s="336"/>
      <c r="E6" s="336"/>
      <c r="F6" s="336"/>
      <c r="G6" s="336"/>
      <c r="H6" s="336"/>
      <c r="I6" s="336"/>
      <c r="J6" s="337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0">
      <c r="A7" s="35"/>
      <c r="B7" s="335" t="s">
        <v>74</v>
      </c>
      <c r="C7" s="336"/>
      <c r="D7" s="336"/>
      <c r="E7" s="336"/>
      <c r="F7" s="336"/>
      <c r="G7" s="336"/>
      <c r="H7" s="336"/>
      <c r="I7" s="336"/>
      <c r="J7" s="337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1:20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1:20">
      <c r="A9" s="35"/>
      <c r="B9" s="47"/>
      <c r="C9" s="40"/>
      <c r="D9" s="40"/>
      <c r="E9" s="40"/>
      <c r="F9" s="40"/>
      <c r="G9" s="42" t="s">
        <v>237</v>
      </c>
      <c r="H9" s="52">
        <v>1629481</v>
      </c>
      <c r="I9" s="52"/>
      <c r="J9" s="112">
        <f>+H9-I9</f>
        <v>1629481</v>
      </c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1:20" s="49" customForma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48"/>
      <c r="O10" s="48"/>
      <c r="P10" s="48"/>
      <c r="Q10" s="48"/>
      <c r="R10" s="48"/>
      <c r="S10" s="48"/>
      <c r="T10" s="48"/>
    </row>
    <row r="11" spans="1:20">
      <c r="A11" s="35"/>
      <c r="B11" s="47"/>
      <c r="C11" s="40"/>
      <c r="D11" s="40"/>
      <c r="E11" s="40"/>
      <c r="F11" s="42" t="s">
        <v>171</v>
      </c>
      <c r="G11" s="45" t="s">
        <v>171</v>
      </c>
      <c r="H11" s="37">
        <f>SUBVENCION!C22</f>
        <v>1144429</v>
      </c>
      <c r="I11" s="37"/>
      <c r="J11" s="51">
        <f>+J9+H11-I11</f>
        <v>2773910</v>
      </c>
      <c r="K11" s="35"/>
      <c r="L11" s="97" t="s">
        <v>5</v>
      </c>
      <c r="M11" s="36" t="s">
        <v>214</v>
      </c>
      <c r="N11" s="97" t="s">
        <v>212</v>
      </c>
      <c r="O11" s="97" t="s">
        <v>213</v>
      </c>
      <c r="P11" s="97" t="s">
        <v>7</v>
      </c>
      <c r="Q11" s="35"/>
      <c r="R11" s="35"/>
      <c r="S11" s="35"/>
      <c r="T11" s="35"/>
    </row>
    <row r="12" spans="1:20">
      <c r="A12" s="35"/>
      <c r="B12" s="47"/>
      <c r="C12" s="40"/>
      <c r="D12" s="40"/>
      <c r="E12" s="40"/>
      <c r="F12" s="42"/>
      <c r="G12" s="45" t="s">
        <v>199</v>
      </c>
      <c r="H12" s="37"/>
      <c r="I12" s="37">
        <v>166769</v>
      </c>
      <c r="J12" s="51">
        <f>+J11+H12-I12</f>
        <v>2607141</v>
      </c>
      <c r="K12" s="35"/>
      <c r="L12" s="231">
        <f>H11</f>
        <v>1144429</v>
      </c>
      <c r="M12" s="36">
        <f>L12*10%</f>
        <v>114442.90000000001</v>
      </c>
      <c r="N12" s="231">
        <f>I12</f>
        <v>166769</v>
      </c>
      <c r="O12" s="196">
        <v>0</v>
      </c>
      <c r="P12" s="231">
        <f>L12-M12-N12</f>
        <v>863217.1</v>
      </c>
      <c r="Q12" s="35"/>
      <c r="R12" s="35"/>
      <c r="S12" s="35"/>
      <c r="T12" s="35"/>
    </row>
    <row r="13" spans="1:20" s="49" customFormat="1">
      <c r="A13" s="48"/>
      <c r="B13" s="330" t="s">
        <v>217</v>
      </c>
      <c r="C13" s="331"/>
      <c r="D13" s="331"/>
      <c r="E13" s="331"/>
      <c r="F13" s="331"/>
      <c r="G13" s="331"/>
      <c r="H13" s="331"/>
      <c r="I13" s="331"/>
      <c r="J13" s="332"/>
      <c r="K13" s="48"/>
      <c r="L13" s="104"/>
      <c r="M13" s="50"/>
      <c r="N13" s="104"/>
      <c r="O13" s="104"/>
      <c r="P13" s="104"/>
      <c r="Q13" s="48"/>
      <c r="R13" s="48"/>
      <c r="S13" s="48"/>
      <c r="T13" s="48"/>
    </row>
    <row r="14" spans="1:20">
      <c r="A14" s="35"/>
      <c r="B14" s="47"/>
      <c r="C14" s="40"/>
      <c r="D14" s="40"/>
      <c r="E14" s="40"/>
      <c r="F14" s="42" t="s">
        <v>171</v>
      </c>
      <c r="G14" s="45" t="s">
        <v>171</v>
      </c>
      <c r="H14" s="37">
        <f>SUBVENCION!E22+SUBVENCION!F22</f>
        <v>1247139</v>
      </c>
      <c r="I14" s="37"/>
      <c r="J14" s="51">
        <f>+J12+H14-I14</f>
        <v>3854280</v>
      </c>
      <c r="K14" s="35"/>
      <c r="L14" s="97" t="s">
        <v>5</v>
      </c>
      <c r="M14" s="36" t="s">
        <v>214</v>
      </c>
      <c r="N14" s="97" t="s">
        <v>212</v>
      </c>
      <c r="O14" s="97" t="s">
        <v>213</v>
      </c>
      <c r="P14" s="97" t="s">
        <v>7</v>
      </c>
      <c r="Q14" s="35"/>
      <c r="R14" s="35"/>
      <c r="S14" s="35"/>
      <c r="T14" s="35"/>
    </row>
    <row r="15" spans="1:20">
      <c r="A15" s="35"/>
      <c r="B15" s="47"/>
      <c r="C15" s="40"/>
      <c r="D15" s="40"/>
      <c r="E15" s="40"/>
      <c r="F15" s="42"/>
      <c r="G15" s="45" t="s">
        <v>199</v>
      </c>
      <c r="H15" s="37"/>
      <c r="I15" s="12">
        <v>170117</v>
      </c>
      <c r="J15" s="51">
        <f>+J14+H15-I15</f>
        <v>3684163</v>
      </c>
      <c r="K15" s="35"/>
      <c r="L15" s="231">
        <f>H14</f>
        <v>1247139</v>
      </c>
      <c r="M15" s="36">
        <f>L15*10%</f>
        <v>124713.90000000001</v>
      </c>
      <c r="N15" s="231">
        <f>I15</f>
        <v>170117</v>
      </c>
      <c r="O15" s="196">
        <v>0</v>
      </c>
      <c r="P15" s="231">
        <f>L15-M15-N15-O15</f>
        <v>952308.10000000009</v>
      </c>
      <c r="Q15" s="35"/>
      <c r="R15" s="35"/>
      <c r="S15" s="35"/>
      <c r="T15" s="35"/>
    </row>
    <row r="16" spans="1:20">
      <c r="A16" s="35"/>
      <c r="B16" s="47"/>
      <c r="C16" s="40"/>
      <c r="D16" s="40"/>
      <c r="E16" s="40"/>
      <c r="F16" s="42"/>
      <c r="G16" s="45"/>
      <c r="H16" s="37"/>
      <c r="I16" s="37"/>
      <c r="J16" s="51"/>
      <c r="K16" s="35"/>
      <c r="L16" s="186"/>
      <c r="M16" s="232"/>
      <c r="N16" s="186"/>
      <c r="O16" s="274"/>
      <c r="P16" s="186"/>
      <c r="Q16" s="35"/>
      <c r="R16" s="35"/>
      <c r="S16" s="35"/>
      <c r="T16" s="35"/>
    </row>
    <row r="17" spans="1:20" s="49" customFormat="1">
      <c r="A17" s="48"/>
      <c r="B17" s="330" t="s">
        <v>68</v>
      </c>
      <c r="C17" s="331"/>
      <c r="D17" s="331"/>
      <c r="E17" s="331"/>
      <c r="F17" s="331"/>
      <c r="G17" s="331"/>
      <c r="H17" s="331"/>
      <c r="I17" s="331"/>
      <c r="J17" s="332"/>
      <c r="K17" s="48"/>
      <c r="L17" s="104"/>
      <c r="M17" s="50"/>
      <c r="N17" s="104"/>
      <c r="O17" s="181"/>
      <c r="P17" s="104"/>
      <c r="Q17" s="48"/>
      <c r="R17" s="48"/>
      <c r="S17" s="48"/>
      <c r="T17" s="48"/>
    </row>
    <row r="18" spans="1:20">
      <c r="A18" s="35"/>
      <c r="B18" s="41"/>
      <c r="C18" s="42"/>
      <c r="D18" s="42"/>
      <c r="E18" s="40"/>
      <c r="F18" s="42" t="s">
        <v>171</v>
      </c>
      <c r="G18" s="45" t="s">
        <v>171</v>
      </c>
      <c r="H18" s="37">
        <f>SUBVENCION!G22+SUBVENCION!H22</f>
        <v>1201882</v>
      </c>
      <c r="I18" s="37"/>
      <c r="J18" s="43">
        <f>+J15+H18-I18</f>
        <v>4886045</v>
      </c>
      <c r="K18" s="35"/>
      <c r="L18" s="97" t="s">
        <v>5</v>
      </c>
      <c r="M18" s="36" t="s">
        <v>214</v>
      </c>
      <c r="N18" s="97" t="s">
        <v>212</v>
      </c>
      <c r="O18" s="196" t="s">
        <v>213</v>
      </c>
      <c r="P18" s="97" t="s">
        <v>7</v>
      </c>
      <c r="Q18" s="35"/>
      <c r="R18" s="35"/>
      <c r="S18" s="35"/>
      <c r="T18" s="35"/>
    </row>
    <row r="19" spans="1:20">
      <c r="A19" s="35"/>
      <c r="B19" s="41"/>
      <c r="C19" s="42"/>
      <c r="D19" s="42"/>
      <c r="E19" s="40"/>
      <c r="F19" s="42"/>
      <c r="G19" s="45" t="s">
        <v>199</v>
      </c>
      <c r="H19" s="37"/>
      <c r="I19" s="12"/>
      <c r="J19" s="43"/>
      <c r="K19" s="35"/>
      <c r="L19" s="231">
        <f>H18</f>
        <v>1201882</v>
      </c>
      <c r="M19" s="36">
        <f>I19*10%</f>
        <v>0</v>
      </c>
      <c r="N19" s="231">
        <f>I19</f>
        <v>0</v>
      </c>
      <c r="O19" s="196"/>
      <c r="P19" s="231">
        <f>L19-M19-N19-O19</f>
        <v>1201882</v>
      </c>
      <c r="Q19" s="35"/>
      <c r="R19" s="35"/>
      <c r="S19" s="35"/>
      <c r="T19" s="35"/>
    </row>
    <row r="20" spans="1:20" s="49" customFormat="1">
      <c r="A20" s="48"/>
      <c r="B20" s="330" t="s">
        <v>69</v>
      </c>
      <c r="C20" s="331"/>
      <c r="D20" s="331"/>
      <c r="E20" s="331"/>
      <c r="F20" s="331"/>
      <c r="G20" s="331"/>
      <c r="H20" s="331"/>
      <c r="I20" s="331"/>
      <c r="J20" s="332"/>
      <c r="K20" s="48"/>
      <c r="L20" s="104"/>
      <c r="M20" s="50"/>
      <c r="N20" s="104"/>
      <c r="O20" s="181"/>
      <c r="P20" s="104"/>
      <c r="Q20" s="48"/>
      <c r="R20" s="48"/>
      <c r="S20" s="48"/>
      <c r="T20" s="48"/>
    </row>
    <row r="21" spans="1:20">
      <c r="A21" s="35"/>
      <c r="B21" s="41"/>
      <c r="C21" s="42"/>
      <c r="D21" s="42"/>
      <c r="E21" s="42"/>
      <c r="F21" s="42" t="s">
        <v>171</v>
      </c>
      <c r="G21" s="45" t="s">
        <v>171</v>
      </c>
      <c r="H21" s="37">
        <f>SUBVENCION!I22+SUBVENCION!J22</f>
        <v>1060980</v>
      </c>
      <c r="I21" s="113"/>
      <c r="J21" s="43">
        <f>+J18+H21-I21</f>
        <v>5947025</v>
      </c>
      <c r="K21" s="35"/>
      <c r="L21" s="97" t="s">
        <v>5</v>
      </c>
      <c r="M21" s="36" t="s">
        <v>214</v>
      </c>
      <c r="N21" s="97" t="s">
        <v>212</v>
      </c>
      <c r="O21" s="196" t="s">
        <v>213</v>
      </c>
      <c r="P21" s="97" t="s">
        <v>7</v>
      </c>
      <c r="Q21" s="35"/>
      <c r="R21" s="35"/>
      <c r="S21" s="35"/>
      <c r="T21" s="35"/>
    </row>
    <row r="22" spans="1:20">
      <c r="A22" s="35"/>
      <c r="B22" s="41"/>
      <c r="C22" s="42"/>
      <c r="D22" s="42"/>
      <c r="E22" s="42"/>
      <c r="F22" s="42" t="s">
        <v>199</v>
      </c>
      <c r="G22" s="45" t="s">
        <v>199</v>
      </c>
      <c r="H22" s="37"/>
      <c r="I22" s="37"/>
      <c r="J22" s="43">
        <f>+J21+H22-I22</f>
        <v>5947025</v>
      </c>
      <c r="K22" s="35"/>
      <c r="L22" s="115">
        <f>H21</f>
        <v>1060980</v>
      </c>
      <c r="M22" s="193">
        <f>L22*10%</f>
        <v>106098</v>
      </c>
      <c r="N22" s="193">
        <v>0</v>
      </c>
      <c r="O22" s="193">
        <v>0</v>
      </c>
      <c r="P22" s="115">
        <f>L22-M22-N22-O22</f>
        <v>954882</v>
      </c>
      <c r="Q22" s="35"/>
      <c r="R22" s="35"/>
      <c r="S22" s="35"/>
      <c r="T22" s="35"/>
    </row>
    <row r="23" spans="1:20">
      <c r="A23" s="35"/>
      <c r="B23" s="41"/>
      <c r="C23" s="42"/>
      <c r="D23" s="42"/>
      <c r="E23" s="42"/>
      <c r="F23" s="42"/>
      <c r="G23" s="45"/>
      <c r="H23" s="37"/>
      <c r="I23" s="37"/>
      <c r="J23" s="43">
        <f>+J22+H23-I23</f>
        <v>5947025</v>
      </c>
      <c r="K23" s="35"/>
      <c r="L23" s="35"/>
      <c r="M23" s="35"/>
      <c r="N23" s="35"/>
      <c r="O23" s="194"/>
      <c r="P23" s="35"/>
      <c r="Q23" s="35"/>
      <c r="R23" s="35"/>
      <c r="S23" s="35"/>
      <c r="T23" s="35"/>
    </row>
    <row r="24" spans="1:20">
      <c r="B24" s="378" t="s">
        <v>120</v>
      </c>
      <c r="C24" s="378"/>
      <c r="D24" s="378"/>
      <c r="E24" s="378"/>
      <c r="F24" s="378"/>
      <c r="G24" s="378"/>
      <c r="H24" s="378"/>
      <c r="I24" s="378"/>
      <c r="J24" s="378"/>
      <c r="O24" s="181"/>
    </row>
    <row r="25" spans="1:20">
      <c r="B25" s="41"/>
      <c r="C25" s="42"/>
      <c r="D25" s="42"/>
      <c r="E25" s="42"/>
      <c r="F25" s="42" t="s">
        <v>171</v>
      </c>
      <c r="G25" s="45" t="s">
        <v>171</v>
      </c>
      <c r="H25" s="37">
        <f>SUBVENCION!K22+SUBVENCION!L22</f>
        <v>1060980</v>
      </c>
      <c r="I25" s="37"/>
      <c r="J25" s="43">
        <f>+J23+H25-I25</f>
        <v>7008005</v>
      </c>
      <c r="L25" s="97" t="s">
        <v>5</v>
      </c>
      <c r="M25" s="36" t="s">
        <v>214</v>
      </c>
      <c r="N25" s="97" t="s">
        <v>212</v>
      </c>
      <c r="O25" s="196" t="s">
        <v>213</v>
      </c>
      <c r="P25" s="97" t="s">
        <v>7</v>
      </c>
    </row>
    <row r="26" spans="1:20">
      <c r="B26" s="41"/>
      <c r="C26" s="42"/>
      <c r="D26" s="42"/>
      <c r="E26" s="42"/>
      <c r="F26" s="42" t="s">
        <v>199</v>
      </c>
      <c r="G26" s="45" t="s">
        <v>199</v>
      </c>
      <c r="H26" s="37"/>
      <c r="I26" s="37"/>
      <c r="J26" s="43">
        <f>+J25+H26-I26</f>
        <v>7008005</v>
      </c>
      <c r="L26" s="115">
        <f>H25</f>
        <v>1060980</v>
      </c>
      <c r="M26" s="101">
        <f>L26*10%</f>
        <v>106098</v>
      </c>
      <c r="N26" s="193">
        <v>0</v>
      </c>
      <c r="O26" s="193">
        <f>I27+I28+I29+I30+I31+I32</f>
        <v>1238153</v>
      </c>
      <c r="P26" s="115">
        <f>L26-M26-N26-O26</f>
        <v>-283271</v>
      </c>
    </row>
    <row r="27" spans="1:20">
      <c r="B27" s="41">
        <v>46154</v>
      </c>
      <c r="C27" s="42">
        <v>3</v>
      </c>
      <c r="D27" s="42">
        <v>443</v>
      </c>
      <c r="E27" s="42">
        <v>746</v>
      </c>
      <c r="F27" s="42" t="s">
        <v>267</v>
      </c>
      <c r="G27" s="42" t="s">
        <v>267</v>
      </c>
      <c r="H27" s="37"/>
      <c r="I27" s="37">
        <v>203659</v>
      </c>
      <c r="J27" s="43">
        <f t="shared" ref="J27:J34" si="0">+J26+H27-I27</f>
        <v>6804346</v>
      </c>
      <c r="O27" s="181"/>
    </row>
    <row r="28" spans="1:20">
      <c r="B28" s="41">
        <v>46154</v>
      </c>
      <c r="C28" s="42">
        <v>4</v>
      </c>
      <c r="D28" s="42">
        <v>444</v>
      </c>
      <c r="E28" s="42">
        <v>753</v>
      </c>
      <c r="F28" s="42" t="s">
        <v>279</v>
      </c>
      <c r="G28" s="42" t="s">
        <v>279</v>
      </c>
      <c r="H28" s="37"/>
      <c r="I28" s="37">
        <v>207840</v>
      </c>
      <c r="J28" s="43">
        <f t="shared" si="0"/>
        <v>6596506</v>
      </c>
      <c r="M28" s="44" t="s">
        <v>342</v>
      </c>
      <c r="O28" s="181"/>
    </row>
    <row r="29" spans="1:20">
      <c r="B29" s="41">
        <v>46154</v>
      </c>
      <c r="C29" s="42">
        <v>5</v>
      </c>
      <c r="D29" s="42">
        <v>445</v>
      </c>
      <c r="E29" s="42">
        <v>747</v>
      </c>
      <c r="F29" s="42" t="s">
        <v>242</v>
      </c>
      <c r="G29" s="42" t="s">
        <v>242</v>
      </c>
      <c r="H29" s="37"/>
      <c r="I29" s="37">
        <v>202430</v>
      </c>
      <c r="J29" s="43">
        <f t="shared" si="0"/>
        <v>6394076</v>
      </c>
      <c r="O29" s="181"/>
    </row>
    <row r="30" spans="1:20">
      <c r="B30" s="41">
        <v>46154</v>
      </c>
      <c r="C30" s="42">
        <v>6</v>
      </c>
      <c r="D30" s="42">
        <v>446</v>
      </c>
      <c r="E30" s="42">
        <v>752</v>
      </c>
      <c r="F30" s="42" t="s">
        <v>267</v>
      </c>
      <c r="G30" s="42" t="s">
        <v>267</v>
      </c>
      <c r="H30" s="37"/>
      <c r="I30" s="37">
        <v>208993</v>
      </c>
      <c r="J30" s="43">
        <f t="shared" si="0"/>
        <v>6185083</v>
      </c>
      <c r="O30" s="181"/>
    </row>
    <row r="31" spans="1:20">
      <c r="B31" s="41">
        <v>46169</v>
      </c>
      <c r="C31" s="42">
        <v>8</v>
      </c>
      <c r="D31" s="42">
        <v>493</v>
      </c>
      <c r="E31" s="42">
        <v>844</v>
      </c>
      <c r="F31" s="42" t="s">
        <v>267</v>
      </c>
      <c r="G31" s="42" t="s">
        <v>458</v>
      </c>
      <c r="H31" s="37"/>
      <c r="I31" s="37">
        <v>209200</v>
      </c>
      <c r="J31" s="43">
        <f t="shared" si="0"/>
        <v>5975883</v>
      </c>
      <c r="O31" s="181"/>
    </row>
    <row r="32" spans="1:20">
      <c r="B32" s="41">
        <v>46169</v>
      </c>
      <c r="C32" s="42">
        <v>7</v>
      </c>
      <c r="D32" s="42">
        <v>492</v>
      </c>
      <c r="E32" s="42">
        <v>832</v>
      </c>
      <c r="F32" s="42" t="s">
        <v>267</v>
      </c>
      <c r="G32" s="42" t="s">
        <v>458</v>
      </c>
      <c r="H32" s="37"/>
      <c r="I32" s="37">
        <v>206031</v>
      </c>
      <c r="J32" s="43">
        <f t="shared" si="0"/>
        <v>5769852</v>
      </c>
      <c r="O32" s="181"/>
    </row>
    <row r="33" spans="2:16">
      <c r="B33" s="41"/>
      <c r="C33" s="42"/>
      <c r="D33" s="42"/>
      <c r="E33" s="42"/>
      <c r="F33" s="42"/>
      <c r="G33" s="42"/>
      <c r="H33" s="37"/>
      <c r="I33" s="37"/>
      <c r="J33" s="43">
        <f t="shared" si="0"/>
        <v>5769852</v>
      </c>
      <c r="O33" s="181"/>
    </row>
    <row r="34" spans="2:16">
      <c r="B34" s="41"/>
      <c r="C34" s="42"/>
      <c r="D34" s="42"/>
      <c r="E34" s="42"/>
      <c r="F34" s="42"/>
      <c r="G34" s="45"/>
      <c r="H34" s="37"/>
      <c r="I34" s="37"/>
      <c r="J34" s="43">
        <f t="shared" si="0"/>
        <v>5769852</v>
      </c>
      <c r="O34" s="181"/>
    </row>
    <row r="35" spans="2:16">
      <c r="B35" s="378" t="s">
        <v>129</v>
      </c>
      <c r="C35" s="378"/>
      <c r="D35" s="378"/>
      <c r="E35" s="378"/>
      <c r="F35" s="378"/>
      <c r="G35" s="378"/>
      <c r="H35" s="378"/>
      <c r="I35" s="378"/>
      <c r="J35" s="378"/>
      <c r="O35" s="181"/>
    </row>
    <row r="36" spans="2:16">
      <c r="B36" s="41"/>
      <c r="C36" s="42"/>
      <c r="D36" s="42"/>
      <c r="E36" s="42"/>
      <c r="F36" s="42" t="s">
        <v>171</v>
      </c>
      <c r="G36" s="45" t="s">
        <v>171</v>
      </c>
      <c r="H36" s="12">
        <f>SUBVENCION!M22+SUBVENCION!N22</f>
        <v>934937</v>
      </c>
      <c r="I36" s="37"/>
      <c r="J36" s="43">
        <f>+J34+H36-I36</f>
        <v>6704789</v>
      </c>
      <c r="L36" s="97" t="s">
        <v>5</v>
      </c>
      <c r="M36" s="36" t="s">
        <v>214</v>
      </c>
      <c r="N36" s="97" t="s">
        <v>212</v>
      </c>
      <c r="O36" s="196" t="s">
        <v>213</v>
      </c>
      <c r="P36" s="97" t="s">
        <v>7</v>
      </c>
    </row>
    <row r="37" spans="2:16">
      <c r="B37" s="41"/>
      <c r="C37" s="42"/>
      <c r="D37" s="42"/>
      <c r="E37" s="42"/>
      <c r="F37" s="42" t="s">
        <v>199</v>
      </c>
      <c r="G37" s="45" t="s">
        <v>199</v>
      </c>
      <c r="H37" s="37"/>
      <c r="I37" s="12"/>
      <c r="J37" s="43">
        <f>+J36+H37-I37</f>
        <v>6704789</v>
      </c>
      <c r="L37" s="115">
        <f>H36</f>
        <v>934937</v>
      </c>
      <c r="M37" s="101">
        <f>L37*10%</f>
        <v>93493.700000000012</v>
      </c>
      <c r="N37" s="115">
        <f>I37</f>
        <v>0</v>
      </c>
      <c r="O37" s="193">
        <f>I38</f>
        <v>174720</v>
      </c>
      <c r="P37" s="115">
        <f>L37-M37-N37-O37</f>
        <v>666723.30000000005</v>
      </c>
    </row>
    <row r="38" spans="2:16">
      <c r="B38" s="41">
        <v>46178</v>
      </c>
      <c r="C38" s="42">
        <v>9</v>
      </c>
      <c r="D38" s="42">
        <v>547</v>
      </c>
      <c r="E38" s="42">
        <v>970</v>
      </c>
      <c r="F38" s="42" t="s">
        <v>353</v>
      </c>
      <c r="G38" s="42" t="s">
        <v>353</v>
      </c>
      <c r="H38" s="37"/>
      <c r="I38" s="37">
        <v>174720</v>
      </c>
      <c r="J38" s="43">
        <f t="shared" ref="J38:J40" si="1">+J37+H38-I38</f>
        <v>6530069</v>
      </c>
      <c r="O38" s="181"/>
    </row>
    <row r="39" spans="2:16">
      <c r="B39" s="41"/>
      <c r="C39" s="42"/>
      <c r="D39" s="42"/>
      <c r="E39" s="42"/>
      <c r="F39" s="42"/>
      <c r="G39" s="45"/>
      <c r="H39" s="37"/>
      <c r="I39" s="37"/>
      <c r="J39" s="43">
        <f t="shared" si="1"/>
        <v>6530069</v>
      </c>
      <c r="O39" s="181"/>
    </row>
    <row r="40" spans="2:16">
      <c r="B40" s="41"/>
      <c r="C40" s="42"/>
      <c r="D40" s="42"/>
      <c r="E40" s="42"/>
      <c r="F40" s="42"/>
      <c r="G40" s="45"/>
      <c r="H40" s="37"/>
      <c r="I40" s="37"/>
      <c r="J40" s="43">
        <f t="shared" si="1"/>
        <v>6530069</v>
      </c>
      <c r="O40" s="181"/>
    </row>
    <row r="41" spans="2:16">
      <c r="B41" s="378" t="s">
        <v>65</v>
      </c>
      <c r="C41" s="378"/>
      <c r="D41" s="378"/>
      <c r="E41" s="378"/>
      <c r="F41" s="378"/>
      <c r="G41" s="378"/>
      <c r="H41" s="378"/>
      <c r="I41" s="378"/>
      <c r="J41" s="378"/>
      <c r="O41" s="181"/>
    </row>
    <row r="42" spans="2:16">
      <c r="B42" s="41"/>
      <c r="C42" s="42"/>
      <c r="D42" s="42"/>
      <c r="E42" s="42"/>
      <c r="F42" s="42" t="s">
        <v>171</v>
      </c>
      <c r="G42" s="45" t="s">
        <v>171</v>
      </c>
      <c r="H42" s="37">
        <f>+SUBVENCION!O22+SUBVENCION!P22</f>
        <v>1075839</v>
      </c>
      <c r="I42" s="37"/>
      <c r="J42" s="43">
        <f>+J40+H42-I42</f>
        <v>7605908</v>
      </c>
      <c r="L42" s="97" t="s">
        <v>5</v>
      </c>
      <c r="M42" s="36" t="s">
        <v>214</v>
      </c>
      <c r="N42" s="97" t="s">
        <v>212</v>
      </c>
      <c r="O42" s="196" t="s">
        <v>213</v>
      </c>
      <c r="P42" s="97" t="s">
        <v>7</v>
      </c>
    </row>
    <row r="43" spans="2:16">
      <c r="B43" s="41"/>
      <c r="C43" s="42"/>
      <c r="D43" s="42"/>
      <c r="E43" s="42"/>
      <c r="F43" s="42" t="s">
        <v>199</v>
      </c>
      <c r="G43" s="45" t="s">
        <v>199</v>
      </c>
      <c r="H43" s="37"/>
      <c r="I43" s="37"/>
      <c r="J43" s="43">
        <f>+J42+H43-I43</f>
        <v>7605908</v>
      </c>
      <c r="L43" s="115">
        <f>H42</f>
        <v>1075839</v>
      </c>
      <c r="M43" s="101">
        <f>L43*10%</f>
        <v>107583.90000000001</v>
      </c>
      <c r="N43" s="115"/>
      <c r="O43" s="193">
        <f>I44</f>
        <v>189900</v>
      </c>
      <c r="P43" s="115">
        <f>L43-M43-O43</f>
        <v>778355.1</v>
      </c>
    </row>
    <row r="44" spans="2:16">
      <c r="B44" s="41">
        <v>46226</v>
      </c>
      <c r="C44" s="42">
        <v>11</v>
      </c>
      <c r="D44" s="42">
        <v>700</v>
      </c>
      <c r="E44" s="42">
        <v>1243</v>
      </c>
      <c r="F44" s="42" t="s">
        <v>554</v>
      </c>
      <c r="G44" s="45" t="s">
        <v>555</v>
      </c>
      <c r="H44" s="37"/>
      <c r="I44" s="37">
        <v>189900</v>
      </c>
      <c r="J44" s="43">
        <f t="shared" ref="J44:J45" si="2">+J43+H44-I44</f>
        <v>7416008</v>
      </c>
    </row>
    <row r="45" spans="2:16">
      <c r="B45" s="41"/>
      <c r="C45" s="42"/>
      <c r="D45" s="42"/>
      <c r="E45" s="42"/>
      <c r="F45" s="42"/>
      <c r="G45" s="45"/>
      <c r="H45" s="37"/>
      <c r="I45" s="37"/>
      <c r="J45" s="43">
        <f t="shared" si="2"/>
        <v>7416008</v>
      </c>
    </row>
    <row r="46" spans="2:16">
      <c r="B46" s="377" t="s">
        <v>130</v>
      </c>
      <c r="C46" s="377"/>
      <c r="D46" s="377"/>
      <c r="E46" s="377"/>
      <c r="F46" s="377"/>
      <c r="G46" s="377"/>
      <c r="H46" s="377"/>
      <c r="I46" s="377"/>
      <c r="J46" s="377"/>
    </row>
    <row r="47" spans="2:16">
      <c r="B47" s="41"/>
      <c r="C47" s="42"/>
      <c r="D47" s="42"/>
      <c r="E47" s="42"/>
      <c r="F47" s="42" t="s">
        <v>171</v>
      </c>
      <c r="G47" s="45" t="s">
        <v>171</v>
      </c>
      <c r="H47" s="37">
        <f>+SUBVENCION!Q22+SUBVENCION!R22</f>
        <v>1075839</v>
      </c>
      <c r="I47" s="37"/>
      <c r="J47" s="43">
        <f>+J45+H47-I47</f>
        <v>8491847</v>
      </c>
      <c r="L47" s="97" t="s">
        <v>5</v>
      </c>
      <c r="M47" s="36" t="s">
        <v>214</v>
      </c>
      <c r="N47" s="97" t="s">
        <v>212</v>
      </c>
      <c r="O47" s="97" t="s">
        <v>213</v>
      </c>
      <c r="P47" s="97" t="s">
        <v>7</v>
      </c>
    </row>
    <row r="48" spans="2:16">
      <c r="B48" s="41"/>
      <c r="C48" s="42"/>
      <c r="D48" s="42"/>
      <c r="E48" s="42"/>
      <c r="F48" s="42" t="s">
        <v>199</v>
      </c>
      <c r="G48" s="45" t="s">
        <v>199</v>
      </c>
      <c r="H48" s="37"/>
      <c r="I48" s="37"/>
      <c r="J48" s="43">
        <f>+J47+H48-I48</f>
        <v>8491847</v>
      </c>
      <c r="L48" s="115">
        <f>H47</f>
        <v>1075839</v>
      </c>
      <c r="M48" s="101">
        <f>L48*10%</f>
        <v>107583.90000000001</v>
      </c>
      <c r="N48" s="115"/>
      <c r="O48" s="115">
        <f>I49+I50+I51+I52+I53</f>
        <v>1036929</v>
      </c>
      <c r="P48" s="115">
        <f>L48-M48-O48</f>
        <v>-68673.900000000023</v>
      </c>
    </row>
    <row r="49" spans="2:16">
      <c r="B49" s="41">
        <v>46252</v>
      </c>
      <c r="C49" s="42">
        <v>13</v>
      </c>
      <c r="D49" s="42">
        <v>821</v>
      </c>
      <c r="E49" s="42">
        <v>1363</v>
      </c>
      <c r="F49" s="42" t="s">
        <v>663</v>
      </c>
      <c r="G49" s="45" t="s">
        <v>516</v>
      </c>
      <c r="H49" s="37"/>
      <c r="I49" s="37">
        <v>209649</v>
      </c>
      <c r="J49" s="43">
        <f t="shared" ref="J49:J54" si="3">+J48+H49-I49</f>
        <v>8282198</v>
      </c>
    </row>
    <row r="50" spans="2:16">
      <c r="B50" s="41">
        <v>46251</v>
      </c>
      <c r="C50" s="42">
        <v>12</v>
      </c>
      <c r="D50" s="42">
        <v>867</v>
      </c>
      <c r="E50" s="42">
        <v>1438</v>
      </c>
      <c r="F50" s="42" t="s">
        <v>663</v>
      </c>
      <c r="G50" s="45" t="s">
        <v>663</v>
      </c>
      <c r="H50" s="37"/>
      <c r="I50" s="37">
        <v>213430</v>
      </c>
      <c r="J50" s="43">
        <f t="shared" si="3"/>
        <v>8068768</v>
      </c>
    </row>
    <row r="51" spans="2:16">
      <c r="B51" s="41">
        <v>46254</v>
      </c>
      <c r="C51" s="42">
        <v>15</v>
      </c>
      <c r="D51" s="42">
        <v>840</v>
      </c>
      <c r="E51" s="42">
        <v>1394</v>
      </c>
      <c r="F51" s="42" t="s">
        <v>519</v>
      </c>
      <c r="G51" s="45" t="s">
        <v>564</v>
      </c>
      <c r="H51" s="37"/>
      <c r="I51" s="37">
        <v>209800</v>
      </c>
      <c r="J51" s="43">
        <f t="shared" si="3"/>
        <v>7858968</v>
      </c>
    </row>
    <row r="52" spans="2:16">
      <c r="B52" s="41">
        <v>46253</v>
      </c>
      <c r="C52" s="42">
        <v>14</v>
      </c>
      <c r="D52" s="42">
        <v>848</v>
      </c>
      <c r="E52" s="42">
        <v>1439</v>
      </c>
      <c r="F52" s="42" t="s">
        <v>250</v>
      </c>
      <c r="G52" s="45" t="s">
        <v>675</v>
      </c>
      <c r="H52" s="37"/>
      <c r="I52" s="37">
        <v>217270</v>
      </c>
      <c r="J52" s="43">
        <f t="shared" si="3"/>
        <v>7641698</v>
      </c>
    </row>
    <row r="53" spans="2:16">
      <c r="B53" s="41">
        <v>46262</v>
      </c>
      <c r="C53" s="42">
        <v>16</v>
      </c>
      <c r="D53" s="42">
        <v>903</v>
      </c>
      <c r="E53" s="42"/>
      <c r="F53" s="42" t="s">
        <v>293</v>
      </c>
      <c r="G53" s="45" t="s">
        <v>533</v>
      </c>
      <c r="H53" s="37"/>
      <c r="I53" s="37">
        <v>186780</v>
      </c>
      <c r="J53" s="43">
        <f t="shared" si="3"/>
        <v>7454918</v>
      </c>
    </row>
    <row r="54" spans="2:16">
      <c r="B54" s="41"/>
      <c r="C54" s="42"/>
      <c r="D54" s="42"/>
      <c r="E54" s="42"/>
      <c r="F54" s="42"/>
      <c r="G54" s="45"/>
      <c r="H54" s="37"/>
      <c r="I54" s="37"/>
      <c r="J54" s="43">
        <f t="shared" si="3"/>
        <v>7454918</v>
      </c>
    </row>
    <row r="55" spans="2:16">
      <c r="B55" s="377" t="s">
        <v>131</v>
      </c>
      <c r="C55" s="377"/>
      <c r="D55" s="377"/>
      <c r="E55" s="377"/>
      <c r="F55" s="377"/>
      <c r="G55" s="377"/>
      <c r="H55" s="377"/>
      <c r="I55" s="377"/>
      <c r="J55" s="377"/>
    </row>
    <row r="56" spans="2:16">
      <c r="B56" s="41"/>
      <c r="C56" s="42"/>
      <c r="D56" s="42"/>
      <c r="E56" s="42"/>
      <c r="F56" s="42" t="s">
        <v>171</v>
      </c>
      <c r="G56" s="45" t="s">
        <v>171</v>
      </c>
      <c r="H56" s="37">
        <f>+SUBVENCION!S22+SUBVENCION!T22</f>
        <v>1075839</v>
      </c>
      <c r="I56" s="37"/>
      <c r="J56" s="43">
        <f>+J54+H56-I56</f>
        <v>8530757</v>
      </c>
      <c r="L56" s="97" t="s">
        <v>5</v>
      </c>
      <c r="M56" s="36" t="s">
        <v>214</v>
      </c>
      <c r="N56" s="97" t="s">
        <v>212</v>
      </c>
      <c r="O56" s="97" t="s">
        <v>213</v>
      </c>
      <c r="P56" s="97" t="s">
        <v>7</v>
      </c>
    </row>
    <row r="57" spans="2:16">
      <c r="B57" s="41"/>
      <c r="C57" s="42"/>
      <c r="D57" s="42"/>
      <c r="E57" s="42"/>
      <c r="F57" s="42" t="s">
        <v>199</v>
      </c>
      <c r="G57" s="45" t="s">
        <v>199</v>
      </c>
      <c r="H57" s="37"/>
      <c r="I57" s="37"/>
      <c r="J57" s="43">
        <f>+J56+H57-I57</f>
        <v>8530757</v>
      </c>
      <c r="L57" s="115">
        <f>H56</f>
        <v>1075839</v>
      </c>
      <c r="M57" s="101">
        <f>L57*10%</f>
        <v>107583.90000000001</v>
      </c>
      <c r="N57" s="115"/>
      <c r="O57" s="115">
        <f>SUM(I58:I65)</f>
        <v>1277070</v>
      </c>
      <c r="P57" s="115">
        <f>L57-M57-O57</f>
        <v>-308814.90000000002</v>
      </c>
    </row>
    <row r="58" spans="2:16">
      <c r="B58" s="41">
        <v>46269</v>
      </c>
      <c r="C58" s="42">
        <v>17</v>
      </c>
      <c r="D58" s="42">
        <v>943</v>
      </c>
      <c r="E58" s="42"/>
      <c r="F58" s="42" t="s">
        <v>519</v>
      </c>
      <c r="G58" s="45" t="s">
        <v>564</v>
      </c>
      <c r="H58" s="37"/>
      <c r="I58" s="37">
        <v>213960</v>
      </c>
      <c r="J58" s="43">
        <f t="shared" ref="J58:J64" si="4">+J57+H58-I58</f>
        <v>8316797</v>
      </c>
    </row>
    <row r="59" spans="2:16">
      <c r="B59" s="41">
        <v>46269</v>
      </c>
      <c r="C59" s="42">
        <v>18</v>
      </c>
      <c r="D59" s="42">
        <v>944</v>
      </c>
      <c r="E59" s="42"/>
      <c r="F59" s="42" t="s">
        <v>554</v>
      </c>
      <c r="G59" s="45" t="s">
        <v>492</v>
      </c>
      <c r="H59" s="37"/>
      <c r="I59" s="37">
        <v>210000</v>
      </c>
      <c r="J59" s="43">
        <f t="shared" si="4"/>
        <v>8106797</v>
      </c>
    </row>
    <row r="60" spans="2:16">
      <c r="B60" s="41">
        <v>46269</v>
      </c>
      <c r="C60" s="42">
        <v>19</v>
      </c>
      <c r="D60" s="42">
        <v>945</v>
      </c>
      <c r="E60" s="42"/>
      <c r="F60" s="42" t="s">
        <v>242</v>
      </c>
      <c r="G60" s="45" t="s">
        <v>242</v>
      </c>
      <c r="H60" s="37"/>
      <c r="I60" s="37">
        <v>212310</v>
      </c>
      <c r="J60" s="43">
        <f t="shared" si="4"/>
        <v>7894487</v>
      </c>
    </row>
    <row r="61" spans="2:16">
      <c r="B61" s="41">
        <v>46275</v>
      </c>
      <c r="C61" s="42">
        <v>20</v>
      </c>
      <c r="D61" s="42">
        <v>953</v>
      </c>
      <c r="E61" s="42"/>
      <c r="F61" s="42" t="s">
        <v>250</v>
      </c>
      <c r="G61" s="45" t="s">
        <v>740</v>
      </c>
      <c r="H61" s="37"/>
      <c r="I61" s="37">
        <v>213840</v>
      </c>
      <c r="J61" s="43">
        <f t="shared" si="4"/>
        <v>7680647</v>
      </c>
    </row>
    <row r="62" spans="2:16">
      <c r="B62" s="41">
        <v>46275</v>
      </c>
      <c r="C62" s="42">
        <v>21</v>
      </c>
      <c r="D62" s="42">
        <v>974</v>
      </c>
      <c r="E62" s="42"/>
      <c r="F62" s="42" t="s">
        <v>250</v>
      </c>
      <c r="G62" s="45" t="s">
        <v>267</v>
      </c>
      <c r="H62" s="37"/>
      <c r="I62" s="37">
        <v>212940</v>
      </c>
      <c r="J62" s="43">
        <f t="shared" si="4"/>
        <v>7467707</v>
      </c>
    </row>
    <row r="63" spans="2:16">
      <c r="B63" s="41">
        <v>46289</v>
      </c>
      <c r="C63" s="42">
        <v>22</v>
      </c>
      <c r="D63" s="42">
        <v>1008</v>
      </c>
      <c r="E63" s="42" t="s">
        <v>701</v>
      </c>
      <c r="F63" s="42" t="s">
        <v>250</v>
      </c>
      <c r="G63" s="45" t="s">
        <v>764</v>
      </c>
      <c r="H63" s="37"/>
      <c r="I63" s="37">
        <v>214020</v>
      </c>
      <c r="J63" s="43">
        <f t="shared" si="4"/>
        <v>7253687</v>
      </c>
    </row>
    <row r="64" spans="2:16">
      <c r="B64" s="41"/>
      <c r="C64" s="42"/>
      <c r="D64" s="42"/>
      <c r="E64" s="42"/>
      <c r="F64" s="42"/>
      <c r="G64" s="45"/>
      <c r="H64" s="37"/>
      <c r="I64" s="37"/>
      <c r="J64" s="43">
        <f t="shared" si="4"/>
        <v>7253687</v>
      </c>
    </row>
    <row r="65" spans="2:16">
      <c r="B65" s="41"/>
      <c r="C65" s="42"/>
      <c r="D65" s="42"/>
      <c r="E65" s="42"/>
      <c r="F65" s="42"/>
      <c r="G65" s="45"/>
      <c r="H65" s="37"/>
      <c r="I65" s="37"/>
      <c r="J65" s="43">
        <f>+J64+H65-I65</f>
        <v>7253687</v>
      </c>
    </row>
    <row r="66" spans="2:16">
      <c r="B66" s="377" t="s">
        <v>132</v>
      </c>
      <c r="C66" s="377"/>
      <c r="D66" s="377"/>
      <c r="E66" s="377"/>
      <c r="F66" s="377"/>
      <c r="G66" s="377"/>
      <c r="H66" s="377"/>
      <c r="I66" s="377"/>
      <c r="J66" s="377"/>
      <c r="L66" s="44" t="s">
        <v>217</v>
      </c>
    </row>
    <row r="67" spans="2:16">
      <c r="B67" s="41"/>
      <c r="C67" s="42"/>
      <c r="D67" s="42"/>
      <c r="E67" s="42"/>
      <c r="F67" s="42" t="s">
        <v>171</v>
      </c>
      <c r="G67" s="45" t="s">
        <v>171</v>
      </c>
      <c r="H67" s="37">
        <f>+SUBVENCION!U22+SUBVENCION!V22</f>
        <v>0</v>
      </c>
      <c r="I67" s="37"/>
      <c r="J67" s="43">
        <f>+J65+H67-I67</f>
        <v>7253687</v>
      </c>
      <c r="L67" s="97" t="s">
        <v>5</v>
      </c>
      <c r="M67" s="36" t="s">
        <v>214</v>
      </c>
      <c r="N67" s="97" t="s">
        <v>212</v>
      </c>
      <c r="O67" s="97" t="s">
        <v>213</v>
      </c>
      <c r="P67" s="97" t="s">
        <v>7</v>
      </c>
    </row>
    <row r="68" spans="2:16">
      <c r="B68" s="41"/>
      <c r="C68" s="42"/>
      <c r="D68" s="42"/>
      <c r="E68" s="42"/>
      <c r="F68" s="42" t="s">
        <v>199</v>
      </c>
      <c r="G68" s="45" t="s">
        <v>199</v>
      </c>
      <c r="H68" s="37"/>
      <c r="I68" s="37"/>
      <c r="J68" s="43">
        <f>J67+H68-I68</f>
        <v>7253687</v>
      </c>
      <c r="L68" s="317">
        <f>H67</f>
        <v>0</v>
      </c>
      <c r="M68" s="314">
        <f>L68*10%</f>
        <v>0</v>
      </c>
      <c r="N68" s="313"/>
      <c r="O68" s="317">
        <f>SUM(I69:I74)</f>
        <v>179820</v>
      </c>
      <c r="P68" s="317">
        <f>L68-M68-O68</f>
        <v>-179820</v>
      </c>
    </row>
    <row r="69" spans="2:16">
      <c r="B69" s="19">
        <v>46296</v>
      </c>
      <c r="C69" s="18">
        <v>23</v>
      </c>
      <c r="D69" s="18">
        <v>1055</v>
      </c>
      <c r="E69" s="79"/>
      <c r="F69" s="18" t="s">
        <v>250</v>
      </c>
      <c r="G69" s="10" t="s">
        <v>777</v>
      </c>
      <c r="H69" s="37"/>
      <c r="I69" s="37">
        <v>179820</v>
      </c>
      <c r="J69" s="43">
        <f t="shared" ref="J69:J75" si="5">J68+H69-I69</f>
        <v>7073867</v>
      </c>
      <c r="L69" s="315"/>
      <c r="M69" s="316"/>
      <c r="N69" s="315"/>
      <c r="O69" s="315"/>
      <c r="P69" s="315"/>
    </row>
    <row r="70" spans="2:16">
      <c r="B70" s="41"/>
      <c r="C70" s="42"/>
      <c r="D70" s="42"/>
      <c r="E70" s="42"/>
      <c r="F70" s="42"/>
      <c r="G70" s="45"/>
      <c r="H70" s="37"/>
      <c r="I70" s="37"/>
      <c r="J70" s="43">
        <f t="shared" si="5"/>
        <v>7073867</v>
      </c>
    </row>
    <row r="71" spans="2:16">
      <c r="B71" s="41"/>
      <c r="C71" s="42"/>
      <c r="D71" s="42"/>
      <c r="E71" s="42"/>
      <c r="F71" s="42"/>
      <c r="G71" s="45"/>
      <c r="H71" s="37"/>
      <c r="I71" s="37"/>
      <c r="J71" s="43">
        <f t="shared" si="5"/>
        <v>7073867</v>
      </c>
    </row>
    <row r="72" spans="2:16">
      <c r="B72" s="41"/>
      <c r="C72" s="42"/>
      <c r="D72" s="42"/>
      <c r="E72" s="42"/>
      <c r="F72" s="42"/>
      <c r="G72" s="45"/>
      <c r="H72" s="37"/>
      <c r="I72" s="37"/>
      <c r="J72" s="43">
        <f t="shared" si="5"/>
        <v>7073867</v>
      </c>
    </row>
    <row r="73" spans="2:16">
      <c r="B73" s="41"/>
      <c r="C73" s="42"/>
      <c r="D73" s="42"/>
      <c r="E73" s="42"/>
      <c r="F73" s="42"/>
      <c r="G73" s="45"/>
      <c r="H73" s="37"/>
      <c r="I73" s="37"/>
      <c r="J73" s="43">
        <f t="shared" si="5"/>
        <v>7073867</v>
      </c>
    </row>
    <row r="74" spans="2:16">
      <c r="B74" s="41"/>
      <c r="C74" s="42"/>
      <c r="D74" s="42"/>
      <c r="E74" s="42"/>
      <c r="F74" s="42"/>
      <c r="G74" s="45"/>
      <c r="H74" s="37"/>
      <c r="I74" s="37"/>
      <c r="J74" s="43">
        <f t="shared" si="5"/>
        <v>7073867</v>
      </c>
    </row>
    <row r="75" spans="2:16">
      <c r="B75" s="41"/>
      <c r="C75" s="42"/>
      <c r="D75" s="42"/>
      <c r="E75" s="42"/>
      <c r="F75" s="42"/>
      <c r="G75" s="45"/>
      <c r="H75" s="37"/>
      <c r="I75" s="37"/>
      <c r="J75" s="43">
        <f t="shared" si="5"/>
        <v>7073867</v>
      </c>
    </row>
    <row r="76" spans="2:16">
      <c r="B76" s="377" t="s">
        <v>133</v>
      </c>
      <c r="C76" s="377"/>
      <c r="D76" s="377"/>
      <c r="E76" s="377"/>
      <c r="F76" s="377"/>
      <c r="G76" s="377"/>
      <c r="H76" s="377"/>
      <c r="I76" s="377"/>
      <c r="J76" s="377"/>
    </row>
    <row r="77" spans="2:16">
      <c r="B77" s="41"/>
      <c r="C77" s="42"/>
      <c r="D77" s="42"/>
      <c r="E77" s="42"/>
      <c r="F77" s="42" t="s">
        <v>171</v>
      </c>
      <c r="G77" s="45" t="s">
        <v>171</v>
      </c>
      <c r="H77" s="37">
        <f>+SUBVENCION!W22+SUBVENCION!X22</f>
        <v>0</v>
      </c>
      <c r="I77" s="37"/>
      <c r="J77" s="43">
        <f>+J75+H77-I77</f>
        <v>7073867</v>
      </c>
      <c r="L77" s="97" t="s">
        <v>5</v>
      </c>
      <c r="M77" s="36" t="s">
        <v>214</v>
      </c>
      <c r="N77" s="97" t="s">
        <v>212</v>
      </c>
      <c r="O77" s="97" t="s">
        <v>213</v>
      </c>
      <c r="P77" s="97" t="s">
        <v>7</v>
      </c>
    </row>
    <row r="78" spans="2:16">
      <c r="B78" s="41"/>
      <c r="C78" s="42"/>
      <c r="D78" s="42"/>
      <c r="E78" s="42"/>
      <c r="F78" s="42" t="s">
        <v>199</v>
      </c>
      <c r="G78" s="45" t="s">
        <v>199</v>
      </c>
      <c r="H78" s="37"/>
      <c r="I78" s="37"/>
      <c r="J78" s="43">
        <f t="shared" ref="J78:J110" si="6">+J77+H78-I78</f>
        <v>7073867</v>
      </c>
      <c r="L78" s="115"/>
      <c r="M78" s="101"/>
      <c r="N78" s="115"/>
      <c r="O78" s="115"/>
      <c r="P78" s="115"/>
    </row>
    <row r="79" spans="2:16">
      <c r="B79" s="41"/>
      <c r="C79" s="42"/>
      <c r="D79" s="42"/>
      <c r="E79" s="42"/>
      <c r="F79" s="42"/>
      <c r="G79" s="45"/>
      <c r="H79" s="37"/>
      <c r="I79" s="37"/>
      <c r="J79" s="43">
        <f t="shared" si="6"/>
        <v>7073867</v>
      </c>
    </row>
    <row r="80" spans="2:16">
      <c r="B80" s="41"/>
      <c r="C80" s="18"/>
      <c r="D80" s="42"/>
      <c r="E80" s="42"/>
      <c r="F80" s="42"/>
      <c r="G80" s="42"/>
      <c r="H80" s="37"/>
      <c r="I80" s="37"/>
      <c r="J80" s="43">
        <f t="shared" si="6"/>
        <v>7073867</v>
      </c>
    </row>
    <row r="81" spans="1:20">
      <c r="B81" s="41"/>
      <c r="C81" s="18"/>
      <c r="D81" s="42"/>
      <c r="E81" s="42"/>
      <c r="F81" s="42"/>
      <c r="G81" s="45"/>
      <c r="H81" s="37"/>
      <c r="I81" s="37"/>
      <c r="J81" s="43">
        <f t="shared" si="6"/>
        <v>7073867</v>
      </c>
    </row>
    <row r="82" spans="1:20">
      <c r="B82" s="41"/>
      <c r="C82" s="18"/>
      <c r="D82" s="42"/>
      <c r="E82" s="42"/>
      <c r="F82" s="42"/>
      <c r="G82" s="45"/>
      <c r="H82" s="37"/>
      <c r="I82" s="37"/>
      <c r="J82" s="43">
        <f t="shared" si="6"/>
        <v>7073867</v>
      </c>
    </row>
    <row r="83" spans="1:20">
      <c r="B83" s="41"/>
      <c r="C83" s="18"/>
      <c r="D83" s="42"/>
      <c r="E83" s="42"/>
      <c r="F83" s="42"/>
      <c r="G83" s="42"/>
      <c r="H83" s="37"/>
      <c r="I83" s="37"/>
      <c r="J83" s="43">
        <f t="shared" si="6"/>
        <v>7073867</v>
      </c>
    </row>
    <row r="84" spans="1:20">
      <c r="B84" s="41"/>
      <c r="C84" s="18"/>
      <c r="D84" s="42"/>
      <c r="E84" s="42"/>
      <c r="F84" s="42"/>
      <c r="G84" s="42"/>
      <c r="H84" s="37"/>
      <c r="I84" s="37"/>
      <c r="J84" s="43">
        <f t="shared" si="6"/>
        <v>7073867</v>
      </c>
    </row>
    <row r="85" spans="1:20">
      <c r="B85" s="41"/>
      <c r="C85" s="18"/>
      <c r="D85" s="42"/>
      <c r="E85" s="42"/>
      <c r="F85" s="42"/>
      <c r="G85" s="45"/>
      <c r="H85" s="37"/>
      <c r="I85" s="37"/>
      <c r="J85" s="43">
        <f t="shared" si="6"/>
        <v>7073867</v>
      </c>
    </row>
    <row r="86" spans="1:20">
      <c r="B86" s="41"/>
      <c r="C86" s="18"/>
      <c r="D86" s="42"/>
      <c r="E86" s="42"/>
      <c r="F86" s="42"/>
      <c r="G86" s="45"/>
      <c r="H86" s="37"/>
      <c r="I86" s="37"/>
      <c r="J86" s="43">
        <f t="shared" si="6"/>
        <v>7073867</v>
      </c>
    </row>
    <row r="87" spans="1:20">
      <c r="B87" s="41"/>
      <c r="C87" s="18"/>
      <c r="D87" s="42"/>
      <c r="E87" s="42"/>
      <c r="F87" s="42"/>
      <c r="G87" s="45"/>
      <c r="H87" s="37"/>
      <c r="I87" s="37"/>
      <c r="J87" s="43">
        <f t="shared" si="6"/>
        <v>7073867</v>
      </c>
    </row>
    <row r="88" spans="1:20">
      <c r="B88" s="41"/>
      <c r="C88" s="18"/>
      <c r="D88" s="42"/>
      <c r="E88" s="42"/>
      <c r="F88" s="42"/>
      <c r="G88" s="45"/>
      <c r="H88" s="37"/>
      <c r="I88" s="37"/>
      <c r="J88" s="43">
        <f t="shared" si="6"/>
        <v>7073867</v>
      </c>
    </row>
    <row r="89" spans="1:20">
      <c r="A89" s="35"/>
      <c r="B89" s="41"/>
      <c r="C89" s="18"/>
      <c r="D89" s="42"/>
      <c r="E89" s="42"/>
      <c r="F89" s="42"/>
      <c r="G89" s="45"/>
      <c r="H89" s="37"/>
      <c r="I89" s="37"/>
      <c r="J89" s="43">
        <f t="shared" si="6"/>
        <v>7073867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</row>
    <row r="90" spans="1:20">
      <c r="A90" s="35"/>
      <c r="B90" s="41"/>
      <c r="C90" s="18"/>
      <c r="D90" s="42"/>
      <c r="E90" s="42"/>
      <c r="F90" s="42"/>
      <c r="G90" s="45"/>
      <c r="H90" s="37"/>
      <c r="I90" s="37"/>
      <c r="J90" s="43">
        <f t="shared" si="6"/>
        <v>7073867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</row>
    <row r="91" spans="1:20">
      <c r="A91" s="35"/>
      <c r="B91" s="41"/>
      <c r="C91" s="18"/>
      <c r="D91" s="42"/>
      <c r="E91" s="42"/>
      <c r="F91" s="42"/>
      <c r="G91" s="42"/>
      <c r="H91" s="37"/>
      <c r="I91" s="37"/>
      <c r="J91" s="43">
        <f t="shared" si="6"/>
        <v>7073867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</row>
    <row r="92" spans="1:20">
      <c r="A92" s="35"/>
      <c r="B92" s="41"/>
      <c r="C92" s="18"/>
      <c r="D92" s="42"/>
      <c r="E92" s="42"/>
      <c r="F92" s="42"/>
      <c r="G92" s="45"/>
      <c r="H92" s="37"/>
      <c r="I92" s="37"/>
      <c r="J92" s="43">
        <f t="shared" si="6"/>
        <v>7073867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</row>
    <row r="93" spans="1:20">
      <c r="A93" s="35"/>
      <c r="B93" s="41"/>
      <c r="C93" s="18"/>
      <c r="D93" s="42"/>
      <c r="E93" s="42"/>
      <c r="F93" s="42"/>
      <c r="G93" s="45"/>
      <c r="H93" s="37"/>
      <c r="I93" s="37"/>
      <c r="J93" s="43">
        <f t="shared" si="6"/>
        <v>7073867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</row>
    <row r="94" spans="1:20">
      <c r="A94" s="35"/>
      <c r="B94" s="41"/>
      <c r="C94" s="18"/>
      <c r="D94" s="42"/>
      <c r="E94" s="42"/>
      <c r="F94" s="42"/>
      <c r="G94" s="42"/>
      <c r="H94" s="37"/>
      <c r="I94" s="37"/>
      <c r="J94" s="43">
        <f t="shared" si="6"/>
        <v>7073867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</row>
    <row r="95" spans="1:20">
      <c r="A95" s="35"/>
      <c r="B95" s="41"/>
      <c r="C95" s="18"/>
      <c r="D95" s="42"/>
      <c r="E95" s="42"/>
      <c r="F95" s="42"/>
      <c r="G95" s="42"/>
      <c r="H95" s="37"/>
      <c r="I95" s="37"/>
      <c r="J95" s="43">
        <f t="shared" si="6"/>
        <v>7073867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</row>
    <row r="96" spans="1:20">
      <c r="A96" s="35"/>
      <c r="B96" s="41"/>
      <c r="C96" s="42"/>
      <c r="D96" s="42"/>
      <c r="E96" s="42"/>
      <c r="F96" s="42"/>
      <c r="G96" s="45"/>
      <c r="H96" s="37"/>
      <c r="I96" s="37"/>
      <c r="J96" s="43">
        <f t="shared" si="6"/>
        <v>7073867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 spans="1:20">
      <c r="A97" s="35"/>
      <c r="B97" s="41"/>
      <c r="C97" s="42"/>
      <c r="D97" s="42"/>
      <c r="E97" s="42"/>
      <c r="F97" s="42"/>
      <c r="G97" s="45"/>
      <c r="H97" s="37"/>
      <c r="I97" s="37"/>
      <c r="J97" s="43">
        <f t="shared" si="6"/>
        <v>7073867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</row>
    <row r="98" spans="1:20">
      <c r="A98" s="35"/>
      <c r="B98" s="41"/>
      <c r="C98" s="42"/>
      <c r="D98" s="42"/>
      <c r="E98" s="42"/>
      <c r="F98" s="42"/>
      <c r="G98" s="45"/>
      <c r="H98" s="37"/>
      <c r="I98" s="37"/>
      <c r="J98" s="43">
        <f t="shared" si="6"/>
        <v>7073867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</row>
    <row r="99" spans="1:20">
      <c r="A99" s="35"/>
      <c r="B99" s="41"/>
      <c r="C99" s="42"/>
      <c r="D99" s="42"/>
      <c r="E99" s="42"/>
      <c r="F99" s="42"/>
      <c r="G99" s="45"/>
      <c r="H99" s="37"/>
      <c r="I99" s="37"/>
      <c r="J99" s="43">
        <f t="shared" si="6"/>
        <v>7073867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</row>
    <row r="100" spans="1:20">
      <c r="A100" s="35"/>
      <c r="B100" s="41"/>
      <c r="C100" s="42"/>
      <c r="D100" s="42"/>
      <c r="E100" s="42"/>
      <c r="F100" s="42"/>
      <c r="G100" s="45"/>
      <c r="H100" s="37"/>
      <c r="I100" s="37"/>
      <c r="J100" s="43">
        <f t="shared" si="6"/>
        <v>7073867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</row>
    <row r="101" spans="1:20">
      <c r="A101" s="35"/>
      <c r="B101" s="320" t="s">
        <v>134</v>
      </c>
      <c r="C101" s="321"/>
      <c r="D101" s="321"/>
      <c r="E101" s="321"/>
      <c r="F101" s="321"/>
      <c r="G101" s="321"/>
      <c r="H101" s="321"/>
      <c r="I101" s="321"/>
      <c r="J101" s="322"/>
      <c r="K101" s="35"/>
      <c r="L101" s="35"/>
      <c r="M101" s="35"/>
      <c r="N101" s="35"/>
      <c r="O101" s="35"/>
      <c r="P101" s="35"/>
      <c r="Q101" s="35"/>
      <c r="R101" s="35"/>
      <c r="S101" s="35"/>
      <c r="T101" s="35"/>
    </row>
    <row r="102" spans="1:20">
      <c r="A102" s="35"/>
      <c r="B102" s="41"/>
      <c r="C102" s="42"/>
      <c r="D102" s="42"/>
      <c r="E102" s="42"/>
      <c r="F102" s="42" t="s">
        <v>171</v>
      </c>
      <c r="G102" s="45" t="s">
        <v>171</v>
      </c>
      <c r="H102" s="37">
        <f>+SUBVENCION!Y22+SUBVENCION!Z22</f>
        <v>0</v>
      </c>
      <c r="I102" s="37"/>
      <c r="J102" s="43">
        <f>+J100+H102-I102</f>
        <v>7073867</v>
      </c>
      <c r="K102" s="35"/>
      <c r="L102" s="97" t="s">
        <v>5</v>
      </c>
      <c r="M102" s="36" t="s">
        <v>214</v>
      </c>
      <c r="N102" s="97" t="s">
        <v>212</v>
      </c>
      <c r="O102" s="97" t="s">
        <v>213</v>
      </c>
      <c r="P102" s="97" t="s">
        <v>7</v>
      </c>
      <c r="Q102" s="35"/>
      <c r="R102" s="35"/>
      <c r="S102" s="35"/>
      <c r="T102" s="35"/>
    </row>
    <row r="103" spans="1:20">
      <c r="A103" s="35"/>
      <c r="B103" s="41"/>
      <c r="C103" s="42"/>
      <c r="D103" s="42"/>
      <c r="E103" s="42"/>
      <c r="F103" s="42" t="s">
        <v>199</v>
      </c>
      <c r="G103" s="45" t="s">
        <v>199</v>
      </c>
      <c r="H103" s="37"/>
      <c r="I103" s="37"/>
      <c r="J103" s="43">
        <f t="shared" si="6"/>
        <v>7073867</v>
      </c>
      <c r="K103" s="35"/>
      <c r="L103" s="115"/>
      <c r="M103" s="101"/>
      <c r="N103" s="115"/>
      <c r="O103" s="115"/>
      <c r="P103" s="115"/>
      <c r="Q103" s="35"/>
      <c r="R103" s="35"/>
      <c r="S103" s="35"/>
      <c r="T103" s="35"/>
    </row>
    <row r="104" spans="1:20">
      <c r="A104" s="35"/>
      <c r="B104" s="41"/>
      <c r="C104" s="42"/>
      <c r="D104" s="42"/>
      <c r="E104" s="42"/>
      <c r="F104" s="42"/>
      <c r="G104" s="45"/>
      <c r="H104" s="37"/>
      <c r="I104" s="37"/>
      <c r="J104" s="43">
        <f t="shared" si="6"/>
        <v>7073867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</row>
    <row r="105" spans="1:20">
      <c r="A105" s="35"/>
      <c r="B105" s="41"/>
      <c r="C105" s="42"/>
      <c r="D105" s="42"/>
      <c r="E105" s="42"/>
      <c r="F105" s="42"/>
      <c r="G105" s="45"/>
      <c r="H105" s="37"/>
      <c r="I105" s="37"/>
      <c r="J105" s="43">
        <f t="shared" si="6"/>
        <v>7073867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</row>
    <row r="106" spans="1:20">
      <c r="A106" s="35"/>
      <c r="B106" s="41"/>
      <c r="C106" s="42"/>
      <c r="D106" s="42"/>
      <c r="E106" s="42"/>
      <c r="F106" s="42"/>
      <c r="G106" s="45"/>
      <c r="H106" s="37"/>
      <c r="I106" s="37"/>
      <c r="J106" s="43">
        <f t="shared" si="6"/>
        <v>7073867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</row>
    <row r="107" spans="1:20">
      <c r="A107" s="35"/>
      <c r="B107" s="41"/>
      <c r="C107" s="42"/>
      <c r="D107" s="42"/>
      <c r="E107" s="42"/>
      <c r="F107" s="42"/>
      <c r="G107" s="45"/>
      <c r="H107" s="37"/>
      <c r="I107" s="37"/>
      <c r="J107" s="43">
        <f t="shared" si="6"/>
        <v>7073867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</row>
    <row r="108" spans="1:20">
      <c r="A108" s="35"/>
      <c r="B108" s="41"/>
      <c r="C108" s="42"/>
      <c r="D108" s="42"/>
      <c r="E108" s="42"/>
      <c r="F108" s="42"/>
      <c r="G108" s="42"/>
      <c r="H108" s="37"/>
      <c r="I108" s="37"/>
      <c r="J108" s="43">
        <f t="shared" si="6"/>
        <v>7073867</v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</row>
    <row r="109" spans="1:20">
      <c r="A109" s="35"/>
      <c r="B109" s="41"/>
      <c r="C109" s="42"/>
      <c r="D109" s="42"/>
      <c r="E109" s="42"/>
      <c r="F109" s="42"/>
      <c r="G109" s="45"/>
      <c r="H109" s="37"/>
      <c r="I109" s="37"/>
      <c r="J109" s="43">
        <f t="shared" si="6"/>
        <v>7073867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</row>
    <row r="110" spans="1:20">
      <c r="A110" s="35"/>
      <c r="B110" s="41"/>
      <c r="C110" s="42"/>
      <c r="D110" s="42"/>
      <c r="E110" s="42"/>
      <c r="F110" s="42" t="s">
        <v>135</v>
      </c>
      <c r="G110" s="45" t="s">
        <v>135</v>
      </c>
      <c r="H110" s="37">
        <f>(H11+H14+H18+H21+H25+H36+H42+H47+H56+H67+H77+H102)*-10%</f>
        <v>-987786.4</v>
      </c>
      <c r="I110" s="37"/>
      <c r="J110" s="43">
        <f t="shared" si="6"/>
        <v>6086080.5999999996</v>
      </c>
      <c r="K110" s="35"/>
      <c r="L110" s="35"/>
      <c r="M110" s="35"/>
      <c r="N110" s="35"/>
      <c r="O110" s="35"/>
      <c r="P110" s="35"/>
      <c r="Q110" s="35"/>
      <c r="R110" s="35"/>
      <c r="S110" s="35"/>
      <c r="T110" s="35"/>
    </row>
    <row r="111" spans="1:20">
      <c r="A111" s="48"/>
      <c r="B111" s="46" t="s">
        <v>8</v>
      </c>
      <c r="C111" s="97" t="s">
        <v>8</v>
      </c>
      <c r="D111" s="97"/>
      <c r="E111" s="97"/>
      <c r="F111" s="97"/>
      <c r="G111" s="97" t="s">
        <v>9</v>
      </c>
      <c r="H111" s="38">
        <f>SUM(H9:H110)</f>
        <v>10519558.6</v>
      </c>
      <c r="I111" s="38">
        <f>SUM(I11:I110)</f>
        <v>4433478</v>
      </c>
      <c r="J111" s="38">
        <f>+H111-I111</f>
        <v>6086080.5999999996</v>
      </c>
      <c r="K111" s="48"/>
      <c r="L111" s="48" t="s">
        <v>223</v>
      </c>
      <c r="M111" s="48"/>
      <c r="N111" s="48"/>
      <c r="O111" s="48"/>
      <c r="P111" s="48"/>
      <c r="Q111" s="48"/>
      <c r="R111" s="48"/>
      <c r="S111" s="48"/>
      <c r="T111" s="48"/>
    </row>
    <row r="116" spans="7:10">
      <c r="G116" s="44" t="s">
        <v>210</v>
      </c>
      <c r="H116" s="97" t="s">
        <v>5</v>
      </c>
      <c r="I116" s="97" t="s">
        <v>6</v>
      </c>
      <c r="J116" s="97" t="s">
        <v>198</v>
      </c>
    </row>
    <row r="117" spans="7:10">
      <c r="H117" s="146">
        <f>+H111</f>
        <v>10519558.6</v>
      </c>
      <c r="I117" s="43">
        <f>+I111</f>
        <v>4433478</v>
      </c>
      <c r="J117" s="143">
        <f>+I117*100/H117</f>
        <v>42.145095327478856</v>
      </c>
    </row>
  </sheetData>
  <autoFilter ref="B8:J111" xr:uid="{00000000-0009-0000-0000-000012000000}"/>
  <mergeCells count="18">
    <mergeCell ref="B101:J101"/>
    <mergeCell ref="B76:J76"/>
    <mergeCell ref="B66:J66"/>
    <mergeCell ref="B7:J7"/>
    <mergeCell ref="B20:J20"/>
    <mergeCell ref="B17:J17"/>
    <mergeCell ref="B10:J10"/>
    <mergeCell ref="B13:J13"/>
    <mergeCell ref="B55:J55"/>
    <mergeCell ref="B46:J46"/>
    <mergeCell ref="B41:J41"/>
    <mergeCell ref="B35:J35"/>
    <mergeCell ref="B24:J24"/>
    <mergeCell ref="B2:J2"/>
    <mergeCell ref="B3:J3"/>
    <mergeCell ref="B4:J4"/>
    <mergeCell ref="B5:J5"/>
    <mergeCell ref="B6:J6"/>
  </mergeCells>
  <conditionalFormatting sqref="B24 H47:J54 H56:J65 H118:J1048576">
    <cfRule type="cellIs" dxfId="50" priority="21" operator="lessThan">
      <formula>0</formula>
    </cfRule>
  </conditionalFormatting>
  <conditionalFormatting sqref="B35">
    <cfRule type="cellIs" dxfId="49" priority="19" operator="lessThan">
      <formula>0</formula>
    </cfRule>
  </conditionalFormatting>
  <conditionalFormatting sqref="B41">
    <cfRule type="cellIs" dxfId="48" priority="18" operator="lessThan">
      <formula>0</formula>
    </cfRule>
  </conditionalFormatting>
  <conditionalFormatting sqref="H1:J23">
    <cfRule type="cellIs" dxfId="47" priority="6" operator="lessThan">
      <formula>0</formula>
    </cfRule>
  </conditionalFormatting>
  <conditionalFormatting sqref="H25:J34">
    <cfRule type="cellIs" dxfId="46" priority="5" operator="lessThan">
      <formula>0</formula>
    </cfRule>
  </conditionalFormatting>
  <conditionalFormatting sqref="H36:J40">
    <cfRule type="cellIs" dxfId="45" priority="17" operator="lessThan">
      <formula>0</formula>
    </cfRule>
  </conditionalFormatting>
  <conditionalFormatting sqref="H42:J45">
    <cfRule type="cellIs" dxfId="44" priority="16" operator="lessThan">
      <formula>0</formula>
    </cfRule>
  </conditionalFormatting>
  <conditionalFormatting sqref="H67:J75">
    <cfRule type="cellIs" dxfId="43" priority="1" operator="lessThan">
      <formula>0</formula>
    </cfRule>
  </conditionalFormatting>
  <conditionalFormatting sqref="H77:J100">
    <cfRule type="cellIs" dxfId="42" priority="10" operator="lessThan">
      <formula>0</formula>
    </cfRule>
  </conditionalFormatting>
  <conditionalFormatting sqref="H102:J115">
    <cfRule type="cellIs" dxfId="41" priority="15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101"/>
  <sheetViews>
    <sheetView showGridLines="0" topLeftCell="B57" workbookViewId="0">
      <selection activeCell="Q65" sqref="Q65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1.42578125" style="44"/>
    <col min="6" max="6" width="26.140625" style="44" bestFit="1" customWidth="1"/>
    <col min="7" max="7" width="25.5703125" style="44" customWidth="1"/>
    <col min="8" max="8" width="11.42578125" style="44"/>
    <col min="9" max="9" width="11.42578125" style="39"/>
    <col min="10" max="11" width="11.42578125" style="44"/>
    <col min="12" max="12" width="0" style="44" hidden="1" customWidth="1"/>
    <col min="13" max="16384" width="11.42578125" style="44"/>
  </cols>
  <sheetData>
    <row r="1" spans="1:17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7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</row>
    <row r="3" spans="1:17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</row>
    <row r="4" spans="1:17">
      <c r="A4" s="35"/>
      <c r="B4" s="335" t="s">
        <v>115</v>
      </c>
      <c r="C4" s="336"/>
      <c r="D4" s="336"/>
      <c r="E4" s="336"/>
      <c r="F4" s="336"/>
      <c r="G4" s="336"/>
      <c r="H4" s="336"/>
      <c r="I4" s="336"/>
      <c r="J4" s="337"/>
    </row>
    <row r="5" spans="1:17">
      <c r="A5" s="35"/>
      <c r="B5" s="335" t="s">
        <v>116</v>
      </c>
      <c r="C5" s="336"/>
      <c r="D5" s="336"/>
      <c r="E5" s="336"/>
      <c r="F5" s="336"/>
      <c r="G5" s="336"/>
      <c r="H5" s="336"/>
      <c r="I5" s="336"/>
      <c r="J5" s="337"/>
    </row>
    <row r="6" spans="1:17">
      <c r="A6" s="35"/>
      <c r="B6" s="335" t="s">
        <v>114</v>
      </c>
      <c r="C6" s="336"/>
      <c r="D6" s="336"/>
      <c r="E6" s="336"/>
      <c r="F6" s="336"/>
      <c r="G6" s="336"/>
      <c r="H6" s="336"/>
      <c r="I6" s="336"/>
      <c r="J6" s="337"/>
    </row>
    <row r="7" spans="1:17">
      <c r="A7" s="35"/>
      <c r="B7" s="335" t="s">
        <v>74</v>
      </c>
      <c r="C7" s="336"/>
      <c r="D7" s="336"/>
      <c r="E7" s="336"/>
      <c r="F7" s="336"/>
      <c r="G7" s="336"/>
      <c r="H7" s="336"/>
      <c r="I7" s="336"/>
      <c r="J7" s="337"/>
    </row>
    <row r="8" spans="1:17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7">
      <c r="A9" s="35"/>
      <c r="B9" s="46"/>
      <c r="C9" s="97"/>
      <c r="D9" s="97"/>
      <c r="E9" s="97"/>
      <c r="F9" s="97"/>
      <c r="G9" s="42" t="s">
        <v>237</v>
      </c>
      <c r="H9" s="36">
        <f>'[1]G-446'!$J$93</f>
        <v>4176808.5</v>
      </c>
      <c r="I9" s="36"/>
      <c r="J9" s="126">
        <f>+H9-I9</f>
        <v>4176808.5</v>
      </c>
    </row>
    <row r="10" spans="1:17" s="49" customFormat="1">
      <c r="A10" s="48"/>
      <c r="B10" s="382" t="s">
        <v>66</v>
      </c>
      <c r="C10" s="383"/>
      <c r="D10" s="383"/>
      <c r="E10" s="383"/>
      <c r="F10" s="383"/>
      <c r="G10" s="383"/>
      <c r="H10" s="383"/>
      <c r="I10" s="383"/>
      <c r="J10" s="384"/>
      <c r="M10" s="154"/>
      <c r="N10" s="182"/>
    </row>
    <row r="11" spans="1:17">
      <c r="A11" s="35"/>
      <c r="B11" s="47"/>
      <c r="C11" s="40"/>
      <c r="D11" s="40"/>
      <c r="E11" s="40"/>
      <c r="F11" s="42" t="s">
        <v>171</v>
      </c>
      <c r="G11" s="42" t="s">
        <v>171</v>
      </c>
      <c r="H11" s="37">
        <f>SUBVENCION!C23+SUBVENCION!D23</f>
        <v>6183446</v>
      </c>
      <c r="I11" s="37"/>
      <c r="J11" s="43">
        <f>+J9+H11-I11</f>
        <v>10360254.5</v>
      </c>
      <c r="M11" s="97" t="s">
        <v>5</v>
      </c>
      <c r="N11" s="36" t="s">
        <v>214</v>
      </c>
      <c r="O11" s="97" t="s">
        <v>212</v>
      </c>
      <c r="P11" s="97" t="s">
        <v>213</v>
      </c>
      <c r="Q11" s="97" t="s">
        <v>7</v>
      </c>
    </row>
    <row r="12" spans="1:17">
      <c r="A12" s="35"/>
      <c r="B12" s="47"/>
      <c r="C12" s="40"/>
      <c r="D12" s="40"/>
      <c r="E12" s="40"/>
      <c r="F12" s="42" t="s">
        <v>199</v>
      </c>
      <c r="G12" s="42" t="s">
        <v>199</v>
      </c>
      <c r="H12" s="37"/>
      <c r="I12" s="37">
        <v>4413897</v>
      </c>
      <c r="J12" s="43">
        <f>+J11+H12-I12</f>
        <v>5946357.5</v>
      </c>
      <c r="M12" s="115">
        <f>H11</f>
        <v>6183446</v>
      </c>
      <c r="N12" s="101">
        <f>M12*10%</f>
        <v>618344.6</v>
      </c>
      <c r="O12" s="115">
        <f>I12</f>
        <v>4413897</v>
      </c>
      <c r="P12" s="115"/>
      <c r="Q12" s="115">
        <f>M12-N12-O12-P12</f>
        <v>1151204.4000000004</v>
      </c>
    </row>
    <row r="13" spans="1:17" s="49" customFormat="1">
      <c r="A13" s="48"/>
      <c r="B13" s="382" t="s">
        <v>223</v>
      </c>
      <c r="C13" s="383"/>
      <c r="D13" s="383"/>
      <c r="E13" s="383"/>
      <c r="F13" s="383"/>
      <c r="G13" s="383"/>
      <c r="H13" s="383"/>
      <c r="I13" s="383"/>
      <c r="J13" s="384"/>
    </row>
    <row r="14" spans="1:17">
      <c r="A14" s="35"/>
      <c r="B14" s="47"/>
      <c r="C14" s="40"/>
      <c r="D14" s="40"/>
      <c r="E14" s="42"/>
      <c r="F14" s="42" t="s">
        <v>171</v>
      </c>
      <c r="G14" s="42" t="s">
        <v>171</v>
      </c>
      <c r="H14" s="37">
        <f>SUBVENCION!E23+SUBVENCION!F23</f>
        <v>5460217</v>
      </c>
      <c r="I14" s="37"/>
      <c r="J14" s="43">
        <f>+J12+H14-I14</f>
        <v>11406574.5</v>
      </c>
      <c r="M14" s="97" t="s">
        <v>5</v>
      </c>
      <c r="N14" s="36" t="s">
        <v>214</v>
      </c>
      <c r="O14" s="97" t="s">
        <v>212</v>
      </c>
      <c r="P14" s="97" t="s">
        <v>213</v>
      </c>
      <c r="Q14" s="97" t="s">
        <v>7</v>
      </c>
    </row>
    <row r="15" spans="1:17">
      <c r="A15" s="35"/>
      <c r="B15" s="47"/>
      <c r="C15" s="40"/>
      <c r="D15" s="40"/>
      <c r="E15" s="40"/>
      <c r="F15" s="42" t="s">
        <v>199</v>
      </c>
      <c r="G15" s="42" t="s">
        <v>199</v>
      </c>
      <c r="H15" s="37"/>
      <c r="I15" s="12">
        <v>4748544</v>
      </c>
      <c r="J15" s="43">
        <f>+J14+H15-I15</f>
        <v>6658030.5</v>
      </c>
      <c r="M15" s="115">
        <f>H14</f>
        <v>5460217</v>
      </c>
      <c r="N15" s="101">
        <f>M15*10%</f>
        <v>546021.70000000007</v>
      </c>
      <c r="O15" s="115">
        <f>I15</f>
        <v>4748544</v>
      </c>
      <c r="P15" s="115"/>
      <c r="Q15" s="115">
        <f>M15-N15-O15</f>
        <v>165651.29999999981</v>
      </c>
    </row>
    <row r="16" spans="1:17">
      <c r="A16" s="35"/>
      <c r="B16" s="47"/>
      <c r="C16" s="109"/>
      <c r="D16" s="40"/>
      <c r="E16" s="40"/>
      <c r="F16" s="42"/>
      <c r="G16" s="42"/>
      <c r="H16" s="37"/>
      <c r="I16" s="37"/>
      <c r="J16" s="43">
        <f t="shared" ref="J16:J17" si="0">+J15+H16-I16</f>
        <v>6658030.5</v>
      </c>
    </row>
    <row r="17" spans="1:19">
      <c r="A17" s="35"/>
      <c r="B17" s="47"/>
      <c r="C17" s="40"/>
      <c r="D17" s="40"/>
      <c r="E17" s="40"/>
      <c r="F17" s="42"/>
      <c r="G17" s="42"/>
      <c r="H17" s="37"/>
      <c r="I17" s="37"/>
      <c r="J17" s="43">
        <f t="shared" si="0"/>
        <v>6658030.5</v>
      </c>
    </row>
    <row r="18" spans="1:19" s="49" customFormat="1">
      <c r="A18" s="48"/>
      <c r="B18" s="382" t="s">
        <v>68</v>
      </c>
      <c r="C18" s="383"/>
      <c r="D18" s="383"/>
      <c r="E18" s="383"/>
      <c r="F18" s="383"/>
      <c r="G18" s="383"/>
      <c r="H18" s="383"/>
      <c r="I18" s="383"/>
      <c r="J18" s="384"/>
    </row>
    <row r="19" spans="1:19">
      <c r="A19" s="35"/>
      <c r="B19" s="47"/>
      <c r="C19" s="40"/>
      <c r="D19" s="40"/>
      <c r="E19" s="42"/>
      <c r="F19" s="42" t="s">
        <v>171</v>
      </c>
      <c r="G19" s="42" t="s">
        <v>171</v>
      </c>
      <c r="H19" s="61">
        <f>SUBVENCION!G23+SUBVENCION!H23</f>
        <v>5254380</v>
      </c>
      <c r="I19" s="61"/>
      <c r="J19" s="43">
        <f>+J17+H19-I19</f>
        <v>11912410.5</v>
      </c>
      <c r="M19" s="97" t="s">
        <v>5</v>
      </c>
      <c r="N19" s="36" t="s">
        <v>214</v>
      </c>
      <c r="O19" s="97" t="s">
        <v>212</v>
      </c>
      <c r="P19" s="97" t="s">
        <v>213</v>
      </c>
      <c r="Q19" s="97" t="s">
        <v>7</v>
      </c>
    </row>
    <row r="20" spans="1:19">
      <c r="A20" s="35"/>
      <c r="B20" s="47"/>
      <c r="C20" s="40"/>
      <c r="D20" s="40"/>
      <c r="E20" s="40"/>
      <c r="F20" s="42" t="s">
        <v>199</v>
      </c>
      <c r="G20" s="42" t="s">
        <v>199</v>
      </c>
      <c r="H20" s="37"/>
      <c r="I20" s="12">
        <v>4177421</v>
      </c>
      <c r="J20" s="43">
        <f>+J19+H20-I20</f>
        <v>7734989.5</v>
      </c>
      <c r="M20" s="115">
        <f>H19</f>
        <v>5254380</v>
      </c>
      <c r="N20" s="101">
        <f>M20*10%</f>
        <v>525438</v>
      </c>
      <c r="O20" s="115">
        <f>I20</f>
        <v>4177421</v>
      </c>
      <c r="P20" s="115">
        <f>I21</f>
        <v>207919</v>
      </c>
      <c r="Q20" s="115">
        <f>M20-N20-O20-P20</f>
        <v>343602</v>
      </c>
    </row>
    <row r="21" spans="1:19">
      <c r="A21" s="35"/>
      <c r="B21" s="47">
        <v>46092</v>
      </c>
      <c r="C21" s="40">
        <v>3</v>
      </c>
      <c r="D21" s="40">
        <v>89</v>
      </c>
      <c r="E21" s="40">
        <v>383</v>
      </c>
      <c r="F21" s="42" t="s">
        <v>267</v>
      </c>
      <c r="G21" s="42" t="s">
        <v>240</v>
      </c>
      <c r="H21" s="37"/>
      <c r="I21" s="37">
        <v>207919</v>
      </c>
      <c r="J21" s="43">
        <f t="shared" ref="J21:J25" si="1">+J20+H21-I21</f>
        <v>7527070.5</v>
      </c>
    </row>
    <row r="22" spans="1:19">
      <c r="A22" s="35"/>
      <c r="B22" s="47"/>
      <c r="C22" s="40"/>
      <c r="D22" s="40"/>
      <c r="E22" s="40"/>
      <c r="F22" s="42"/>
      <c r="G22" s="42"/>
      <c r="H22" s="37"/>
      <c r="I22" s="37"/>
      <c r="J22" s="43">
        <f t="shared" si="1"/>
        <v>7527070.5</v>
      </c>
    </row>
    <row r="23" spans="1:19">
      <c r="A23" s="35"/>
      <c r="B23" s="47"/>
      <c r="C23" s="40"/>
      <c r="D23" s="40"/>
      <c r="E23" s="40"/>
      <c r="F23" s="42"/>
      <c r="G23" s="42"/>
      <c r="H23" s="37"/>
      <c r="I23" s="37"/>
      <c r="J23" s="43">
        <f t="shared" si="1"/>
        <v>7527070.5</v>
      </c>
    </row>
    <row r="24" spans="1:19">
      <c r="A24" s="35"/>
      <c r="B24" s="47"/>
      <c r="C24" s="40"/>
      <c r="D24" s="40"/>
      <c r="E24" s="40"/>
      <c r="F24" s="42"/>
      <c r="G24" s="42"/>
      <c r="H24" s="37"/>
      <c r="I24" s="37"/>
      <c r="J24" s="43">
        <f t="shared" si="1"/>
        <v>7527070.5</v>
      </c>
    </row>
    <row r="25" spans="1:19">
      <c r="A25" s="35"/>
      <c r="B25" s="47"/>
      <c r="C25" s="40"/>
      <c r="D25" s="40"/>
      <c r="E25" s="40"/>
      <c r="F25" s="42"/>
      <c r="G25" s="42"/>
      <c r="H25" s="37"/>
      <c r="I25" s="37"/>
      <c r="J25" s="43">
        <f t="shared" si="1"/>
        <v>7527070.5</v>
      </c>
    </row>
    <row r="26" spans="1:19" s="49" customFormat="1">
      <c r="B26" s="382" t="s">
        <v>69</v>
      </c>
      <c r="C26" s="383"/>
      <c r="D26" s="383"/>
      <c r="E26" s="383"/>
      <c r="F26" s="383"/>
      <c r="G26" s="383"/>
      <c r="H26" s="383"/>
      <c r="I26" s="383"/>
      <c r="J26" s="384"/>
    </row>
    <row r="27" spans="1:19">
      <c r="B27" s="47"/>
      <c r="C27" s="40"/>
      <c r="D27" s="40"/>
      <c r="E27" s="42"/>
      <c r="F27" s="42" t="s">
        <v>171</v>
      </c>
      <c r="G27" s="42" t="s">
        <v>171</v>
      </c>
      <c r="H27" s="12">
        <f>SUBVENCION!I23+SUBVENCION!J23</f>
        <v>5419443</v>
      </c>
      <c r="I27" s="37"/>
      <c r="J27" s="43">
        <f>+J25+H27-I27</f>
        <v>12946513.5</v>
      </c>
    </row>
    <row r="28" spans="1:19">
      <c r="B28" s="47"/>
      <c r="C28" s="40"/>
      <c r="D28" s="40"/>
      <c r="E28" s="40"/>
      <c r="F28" s="42"/>
      <c r="G28" s="42" t="s">
        <v>199</v>
      </c>
      <c r="H28" s="37"/>
      <c r="I28" s="12">
        <v>3961486</v>
      </c>
      <c r="J28" s="43">
        <f>+J27+H28-I28</f>
        <v>8985027.5</v>
      </c>
      <c r="M28" s="97" t="s">
        <v>5</v>
      </c>
      <c r="N28" s="36" t="s">
        <v>214</v>
      </c>
      <c r="O28" s="97" t="s">
        <v>212</v>
      </c>
      <c r="P28" s="97" t="s">
        <v>213</v>
      </c>
      <c r="Q28" s="97" t="s">
        <v>7</v>
      </c>
    </row>
    <row r="29" spans="1:19">
      <c r="B29" s="47">
        <v>46120</v>
      </c>
      <c r="C29" s="40">
        <v>5</v>
      </c>
      <c r="D29" s="40">
        <v>258</v>
      </c>
      <c r="E29" s="40">
        <v>611</v>
      </c>
      <c r="F29" s="42" t="s">
        <v>267</v>
      </c>
      <c r="G29" s="42" t="s">
        <v>240</v>
      </c>
      <c r="H29" s="37"/>
      <c r="I29" s="37">
        <v>206822</v>
      </c>
      <c r="J29" s="43">
        <f t="shared" ref="J29:J30" si="2">+J28+H29-I29</f>
        <v>8778205.5</v>
      </c>
      <c r="M29" s="115">
        <f>H27</f>
        <v>5419443</v>
      </c>
      <c r="N29" s="101">
        <f>H27*10%</f>
        <v>541944.30000000005</v>
      </c>
      <c r="O29" s="115">
        <f>I28</f>
        <v>3961486</v>
      </c>
      <c r="P29" s="115">
        <f>I29</f>
        <v>206822</v>
      </c>
      <c r="Q29" s="115">
        <f>M29-N29-O29-P29</f>
        <v>709190.70000000019</v>
      </c>
    </row>
    <row r="30" spans="1:19">
      <c r="B30" s="47">
        <v>46139</v>
      </c>
      <c r="C30" s="40">
        <v>7</v>
      </c>
      <c r="D30" s="40">
        <v>363</v>
      </c>
      <c r="E30" s="40">
        <v>754</v>
      </c>
      <c r="F30" s="42" t="s">
        <v>242</v>
      </c>
      <c r="G30" s="42" t="s">
        <v>242</v>
      </c>
      <c r="H30" s="37"/>
      <c r="I30" s="37">
        <v>208845</v>
      </c>
      <c r="J30" s="43">
        <f t="shared" si="2"/>
        <v>8569360.5</v>
      </c>
    </row>
    <row r="31" spans="1:19">
      <c r="B31" s="371" t="s">
        <v>120</v>
      </c>
      <c r="C31" s="372"/>
      <c r="D31" s="372"/>
      <c r="E31" s="372"/>
      <c r="F31" s="372"/>
      <c r="G31" s="372"/>
      <c r="H31" s="372"/>
      <c r="I31" s="372"/>
      <c r="J31" s="373"/>
      <c r="S31" s="104"/>
    </row>
    <row r="32" spans="1:19">
      <c r="B32" s="47"/>
      <c r="C32" s="40"/>
      <c r="D32" s="40"/>
      <c r="E32" s="40"/>
      <c r="F32" s="42" t="s">
        <v>171</v>
      </c>
      <c r="G32" s="42" t="s">
        <v>171</v>
      </c>
      <c r="H32" s="37">
        <f>SUBVENCION!K23+SUBVENCION!L23</f>
        <v>5719278</v>
      </c>
      <c r="I32" s="37"/>
      <c r="J32" s="43">
        <f>+J30+H32-I32</f>
        <v>14288638.5</v>
      </c>
      <c r="M32" s="97" t="s">
        <v>5</v>
      </c>
      <c r="N32" s="36" t="s">
        <v>214</v>
      </c>
      <c r="O32" s="97" t="s">
        <v>212</v>
      </c>
      <c r="P32" s="97" t="s">
        <v>213</v>
      </c>
      <c r="Q32" s="97" t="s">
        <v>7</v>
      </c>
    </row>
    <row r="33" spans="1:17">
      <c r="B33" s="47"/>
      <c r="C33" s="40"/>
      <c r="D33" s="40"/>
      <c r="E33" s="40"/>
      <c r="F33" s="42" t="s">
        <v>223</v>
      </c>
      <c r="G33" s="42" t="s">
        <v>199</v>
      </c>
      <c r="H33" s="37"/>
      <c r="I33" s="37">
        <v>3947635</v>
      </c>
      <c r="J33" s="43">
        <f>+J32+H33-I33</f>
        <v>10341003.5</v>
      </c>
      <c r="M33" s="115">
        <f>H32</f>
        <v>5719278</v>
      </c>
      <c r="N33" s="101">
        <f>M33*10%</f>
        <v>571927.80000000005</v>
      </c>
      <c r="O33" s="115">
        <f>I33</f>
        <v>3947635</v>
      </c>
      <c r="P33" s="115" t="e">
        <f>#REF!</f>
        <v>#REF!</v>
      </c>
      <c r="Q33" s="115" t="e">
        <f>M33-N33-O33-P33</f>
        <v>#REF!</v>
      </c>
    </row>
    <row r="34" spans="1:17">
      <c r="B34" s="47"/>
      <c r="C34" s="40"/>
      <c r="D34" s="40"/>
      <c r="E34" s="40"/>
      <c r="F34" s="42"/>
      <c r="G34" s="42"/>
      <c r="H34" s="37"/>
      <c r="I34" s="37"/>
      <c r="J34" s="43">
        <f>+J33+H34-I34</f>
        <v>10341003.5</v>
      </c>
    </row>
    <row r="35" spans="1:17">
      <c r="B35" s="371" t="s">
        <v>129</v>
      </c>
      <c r="C35" s="372"/>
      <c r="D35" s="372"/>
      <c r="E35" s="372"/>
      <c r="F35" s="372"/>
      <c r="G35" s="372"/>
      <c r="H35" s="372"/>
      <c r="I35" s="372"/>
      <c r="J35" s="373"/>
    </row>
    <row r="36" spans="1:17">
      <c r="B36" s="47"/>
      <c r="C36" s="40"/>
      <c r="D36" s="40"/>
      <c r="E36" s="40"/>
      <c r="F36" s="42" t="s">
        <v>171</v>
      </c>
      <c r="G36" s="42" t="s">
        <v>171</v>
      </c>
      <c r="H36" s="12">
        <f>SUBVENCION!M23+SUBVENCION!N23</f>
        <v>6810722</v>
      </c>
      <c r="I36" s="37"/>
      <c r="J36" s="43">
        <f>+J34+H36-I36</f>
        <v>17151725.5</v>
      </c>
      <c r="M36" s="97" t="s">
        <v>5</v>
      </c>
      <c r="N36" s="36" t="s">
        <v>214</v>
      </c>
      <c r="O36" s="97" t="s">
        <v>212</v>
      </c>
      <c r="P36" s="97" t="s">
        <v>213</v>
      </c>
      <c r="Q36" s="97" t="s">
        <v>7</v>
      </c>
    </row>
    <row r="37" spans="1:17">
      <c r="B37" s="47"/>
      <c r="C37" s="40"/>
      <c r="D37" s="40"/>
      <c r="E37" s="40"/>
      <c r="F37" s="42" t="s">
        <v>199</v>
      </c>
      <c r="G37" s="42" t="s">
        <v>199</v>
      </c>
      <c r="H37" s="37"/>
      <c r="I37" s="37">
        <v>4319935</v>
      </c>
      <c r="J37" s="43">
        <f>+J36+H37-I37</f>
        <v>12831790.5</v>
      </c>
      <c r="M37" s="115">
        <f>H36</f>
        <v>6810722</v>
      </c>
      <c r="N37" s="101">
        <f>M37*10%</f>
        <v>681072.20000000007</v>
      </c>
      <c r="O37" s="115">
        <f>I37</f>
        <v>4319935</v>
      </c>
      <c r="P37" s="115">
        <f>I38+I39+I40</f>
        <v>1804228</v>
      </c>
      <c r="Q37" s="115">
        <f>M37-N37-O37-P37</f>
        <v>5486.7999999998137</v>
      </c>
    </row>
    <row r="38" spans="1:17">
      <c r="B38" s="47">
        <v>46176</v>
      </c>
      <c r="C38" s="40">
        <v>8</v>
      </c>
      <c r="D38" s="40">
        <v>541</v>
      </c>
      <c r="E38" s="40">
        <v>972</v>
      </c>
      <c r="F38" s="42" t="s">
        <v>267</v>
      </c>
      <c r="G38" s="42" t="s">
        <v>458</v>
      </c>
      <c r="H38" s="37"/>
      <c r="I38" s="37">
        <v>116818</v>
      </c>
      <c r="J38" s="43">
        <f t="shared" ref="J38:J40" si="3">+J37+H38-I38</f>
        <v>12714972.5</v>
      </c>
    </row>
    <row r="39" spans="1:17">
      <c r="A39" s="44" t="s">
        <v>223</v>
      </c>
      <c r="B39" s="47">
        <v>46176</v>
      </c>
      <c r="C39" s="40">
        <v>9</v>
      </c>
      <c r="D39" s="40">
        <v>542</v>
      </c>
      <c r="E39" s="40">
        <v>972</v>
      </c>
      <c r="F39" s="42" t="s">
        <v>267</v>
      </c>
      <c r="G39" s="42" t="s">
        <v>267</v>
      </c>
      <c r="H39" s="37"/>
      <c r="I39" s="37">
        <v>87411</v>
      </c>
      <c r="J39" s="43">
        <f t="shared" si="3"/>
        <v>12627561.5</v>
      </c>
    </row>
    <row r="40" spans="1:17">
      <c r="B40" s="47">
        <v>46182</v>
      </c>
      <c r="C40" s="40">
        <v>10</v>
      </c>
      <c r="D40" s="40" t="s">
        <v>513</v>
      </c>
      <c r="E40" s="40">
        <v>1071</v>
      </c>
      <c r="F40" s="42" t="s">
        <v>488</v>
      </c>
      <c r="G40" s="42" t="s">
        <v>488</v>
      </c>
      <c r="H40" s="37"/>
      <c r="I40" s="37">
        <v>1599999</v>
      </c>
      <c r="J40" s="43">
        <f t="shared" si="3"/>
        <v>11027562.5</v>
      </c>
    </row>
    <row r="41" spans="1:17">
      <c r="B41" s="371" t="s">
        <v>65</v>
      </c>
      <c r="C41" s="372"/>
      <c r="D41" s="372"/>
      <c r="E41" s="372"/>
      <c r="F41" s="372"/>
      <c r="G41" s="372"/>
      <c r="H41" s="372"/>
      <c r="I41" s="372"/>
      <c r="J41" s="373"/>
    </row>
    <row r="42" spans="1:17">
      <c r="B42" s="47"/>
      <c r="C42" s="40"/>
      <c r="D42" s="40"/>
      <c r="E42" s="40"/>
      <c r="F42" s="42" t="s">
        <v>171</v>
      </c>
      <c r="G42" s="42" t="s">
        <v>171</v>
      </c>
      <c r="H42" s="37">
        <f>+SUBVENCION!O23+SUBVENCION!P23</f>
        <v>5774050</v>
      </c>
      <c r="I42" s="37"/>
      <c r="J42" s="43">
        <f>+J40+H42-I42</f>
        <v>16801612.5</v>
      </c>
      <c r="L42" s="104"/>
      <c r="M42" s="97" t="s">
        <v>5</v>
      </c>
      <c r="N42" s="36" t="s">
        <v>214</v>
      </c>
      <c r="O42" s="97" t="s">
        <v>212</v>
      </c>
      <c r="P42" s="97" t="s">
        <v>213</v>
      </c>
      <c r="Q42" s="97" t="s">
        <v>7</v>
      </c>
    </row>
    <row r="43" spans="1:17">
      <c r="B43" s="47"/>
      <c r="C43" s="40"/>
      <c r="D43" s="40"/>
      <c r="E43" s="40"/>
      <c r="F43" s="42" t="s">
        <v>199</v>
      </c>
      <c r="G43" s="42" t="s">
        <v>199</v>
      </c>
      <c r="H43" s="37"/>
      <c r="I43" s="37">
        <v>4018879</v>
      </c>
      <c r="J43" s="43">
        <f>+J42+H43-I43</f>
        <v>12782733.5</v>
      </c>
      <c r="M43" s="115">
        <f>H42</f>
        <v>5774050</v>
      </c>
      <c r="N43" s="101">
        <f>M43*10%</f>
        <v>577405</v>
      </c>
      <c r="O43" s="115">
        <f>I43</f>
        <v>4018879</v>
      </c>
      <c r="P43" s="115">
        <f>I44+I45</f>
        <v>297958</v>
      </c>
      <c r="Q43" s="115">
        <f>M43-N43-O43-P43</f>
        <v>879808</v>
      </c>
    </row>
    <row r="44" spans="1:17">
      <c r="B44" s="47">
        <v>46211</v>
      </c>
      <c r="C44" s="40">
        <v>12</v>
      </c>
      <c r="D44" s="40">
        <v>630</v>
      </c>
      <c r="E44" s="40">
        <v>1157</v>
      </c>
      <c r="F44" s="42" t="s">
        <v>519</v>
      </c>
      <c r="G44" s="45" t="s">
        <v>483</v>
      </c>
      <c r="H44" s="37"/>
      <c r="I44" s="37">
        <v>147998</v>
      </c>
      <c r="J44" s="43">
        <f t="shared" ref="J44:J45" si="4">+J43+H44-I44</f>
        <v>12634735.5</v>
      </c>
      <c r="L44" s="104"/>
    </row>
    <row r="45" spans="1:17">
      <c r="B45" s="47">
        <v>46226</v>
      </c>
      <c r="C45" s="40">
        <v>15</v>
      </c>
      <c r="D45" s="40">
        <v>703</v>
      </c>
      <c r="E45" s="40">
        <v>1217</v>
      </c>
      <c r="F45" s="42" t="s">
        <v>267</v>
      </c>
      <c r="G45" s="45" t="s">
        <v>458</v>
      </c>
      <c r="H45" s="37"/>
      <c r="I45" s="37">
        <v>149960</v>
      </c>
      <c r="J45" s="43">
        <f t="shared" si="4"/>
        <v>12484775.5</v>
      </c>
      <c r="M45" s="104"/>
    </row>
    <row r="46" spans="1:17">
      <c r="B46" s="47"/>
      <c r="C46" s="40"/>
      <c r="D46" s="40"/>
      <c r="E46" s="40"/>
      <c r="F46" s="42"/>
      <c r="G46" s="42"/>
      <c r="H46" s="61"/>
      <c r="I46" s="61"/>
      <c r="J46" s="43">
        <f>+J45+H46-I46</f>
        <v>12484775.5</v>
      </c>
      <c r="L46" s="104"/>
    </row>
    <row r="47" spans="1:17">
      <c r="B47" s="320" t="s">
        <v>130</v>
      </c>
      <c r="C47" s="321"/>
      <c r="D47" s="321"/>
      <c r="E47" s="321"/>
      <c r="F47" s="321"/>
      <c r="G47" s="321"/>
      <c r="H47" s="321"/>
      <c r="I47" s="321"/>
      <c r="J47" s="322"/>
    </row>
    <row r="48" spans="1:17">
      <c r="B48" s="41"/>
      <c r="C48" s="42"/>
      <c r="D48" s="42"/>
      <c r="E48" s="42"/>
      <c r="F48" s="42" t="s">
        <v>171</v>
      </c>
      <c r="G48" s="42" t="s">
        <v>171</v>
      </c>
      <c r="H48" s="61">
        <f>+SUBVENCION!Q23+SUBVENCION!R23</f>
        <v>5509175</v>
      </c>
      <c r="I48" s="37"/>
      <c r="J48" s="43">
        <f>+J46+H48-I48</f>
        <v>17993950.5</v>
      </c>
      <c r="L48" s="180"/>
      <c r="M48" s="97" t="s">
        <v>5</v>
      </c>
      <c r="N48" s="36" t="s">
        <v>214</v>
      </c>
      <c r="O48" s="97" t="s">
        <v>212</v>
      </c>
      <c r="P48" s="97" t="s">
        <v>213</v>
      </c>
      <c r="Q48" s="97" t="s">
        <v>7</v>
      </c>
    </row>
    <row r="49" spans="1:17">
      <c r="B49" s="41"/>
      <c r="C49" s="42"/>
      <c r="D49" s="42"/>
      <c r="E49" s="42"/>
      <c r="F49" s="42" t="s">
        <v>199</v>
      </c>
      <c r="G49" s="42" t="s">
        <v>199</v>
      </c>
      <c r="H49" s="37"/>
      <c r="I49" s="37">
        <v>4368958</v>
      </c>
      <c r="J49" s="43">
        <f>+J48+H49-I49</f>
        <v>13624992.5</v>
      </c>
      <c r="L49" s="180"/>
      <c r="M49" s="115">
        <f>H48</f>
        <v>5509175</v>
      </c>
      <c r="N49" s="101">
        <f>M49*10%</f>
        <v>550917.5</v>
      </c>
      <c r="O49" s="115">
        <f>I49</f>
        <v>4368958</v>
      </c>
      <c r="P49" s="115">
        <f>I50+I51</f>
        <v>366525</v>
      </c>
      <c r="Q49" s="115">
        <f>M49-N49-O49-P49</f>
        <v>222774.5</v>
      </c>
    </row>
    <row r="50" spans="1:17">
      <c r="B50" s="47">
        <v>46238</v>
      </c>
      <c r="C50" s="40">
        <v>17</v>
      </c>
      <c r="D50" s="40">
        <v>742</v>
      </c>
      <c r="E50" s="40">
        <v>1255</v>
      </c>
      <c r="F50" s="42" t="s">
        <v>267</v>
      </c>
      <c r="G50" s="42" t="s">
        <v>603</v>
      </c>
      <c r="H50" s="37"/>
      <c r="I50" s="37">
        <v>152325</v>
      </c>
      <c r="J50" s="43">
        <f t="shared" ref="J50:J77" si="5">+J49+H50-I50</f>
        <v>13472667.5</v>
      </c>
    </row>
    <row r="51" spans="1:17">
      <c r="B51" s="47">
        <v>46260</v>
      </c>
      <c r="C51" s="40">
        <v>20</v>
      </c>
      <c r="D51" s="40">
        <v>905</v>
      </c>
      <c r="E51" s="40"/>
      <c r="F51" s="42" t="s">
        <v>242</v>
      </c>
      <c r="G51" s="42" t="s">
        <v>242</v>
      </c>
      <c r="H51" s="37"/>
      <c r="I51" s="37">
        <v>214200</v>
      </c>
      <c r="J51" s="43">
        <f t="shared" si="5"/>
        <v>13258467.5</v>
      </c>
    </row>
    <row r="52" spans="1:17">
      <c r="B52" s="47"/>
      <c r="C52" s="40"/>
      <c r="D52" s="40"/>
      <c r="E52" s="40"/>
      <c r="F52" s="42"/>
      <c r="G52" s="45"/>
      <c r="H52" s="37"/>
      <c r="I52" s="37"/>
      <c r="J52" s="43">
        <f t="shared" si="5"/>
        <v>13258467.5</v>
      </c>
    </row>
    <row r="53" spans="1:17">
      <c r="A53" s="35"/>
      <c r="B53" s="320" t="s">
        <v>131</v>
      </c>
      <c r="C53" s="321"/>
      <c r="D53" s="321"/>
      <c r="E53" s="321"/>
      <c r="F53" s="321"/>
      <c r="G53" s="321"/>
      <c r="H53" s="321"/>
      <c r="I53" s="321"/>
      <c r="J53" s="322"/>
    </row>
    <row r="54" spans="1:17">
      <c r="A54" s="35"/>
      <c r="B54" s="47"/>
      <c r="C54" s="40"/>
      <c r="D54" s="40"/>
      <c r="E54" s="42"/>
      <c r="F54" s="42" t="s">
        <v>171</v>
      </c>
      <c r="G54" s="42" t="s">
        <v>171</v>
      </c>
      <c r="H54" s="37">
        <f>+SUBVENCION!S23+SUBVENCION!T23</f>
        <v>5500202</v>
      </c>
      <c r="I54" s="37"/>
      <c r="J54" s="43">
        <f>+J52+H54-I54</f>
        <v>18758669.5</v>
      </c>
      <c r="M54" s="97" t="s">
        <v>5</v>
      </c>
      <c r="N54" s="36" t="s">
        <v>214</v>
      </c>
      <c r="O54" s="97" t="s">
        <v>212</v>
      </c>
      <c r="P54" s="97" t="s">
        <v>213</v>
      </c>
      <c r="Q54" s="97" t="s">
        <v>7</v>
      </c>
    </row>
    <row r="55" spans="1:17">
      <c r="A55" s="35"/>
      <c r="B55" s="47"/>
      <c r="C55" s="40"/>
      <c r="D55" s="40"/>
      <c r="E55" s="40"/>
      <c r="F55" s="42" t="s">
        <v>199</v>
      </c>
      <c r="G55" s="42" t="s">
        <v>199</v>
      </c>
      <c r="H55" s="37"/>
      <c r="I55" s="37">
        <v>4708006</v>
      </c>
      <c r="J55" s="43">
        <f t="shared" si="5"/>
        <v>14050663.5</v>
      </c>
      <c r="M55" s="115">
        <f>H54</f>
        <v>5500202</v>
      </c>
      <c r="N55" s="101">
        <f>M55*10%</f>
        <v>550020.20000000007</v>
      </c>
      <c r="O55" s="115">
        <f>I55</f>
        <v>4708006</v>
      </c>
      <c r="P55" s="115">
        <f>SUM(I56:I61)</f>
        <v>830220</v>
      </c>
      <c r="Q55" s="115">
        <f>M55-N55-O55-P55</f>
        <v>-588044.20000000019</v>
      </c>
    </row>
    <row r="56" spans="1:17">
      <c r="A56" s="35"/>
      <c r="B56" s="47">
        <v>46267</v>
      </c>
      <c r="C56" s="40">
        <v>21</v>
      </c>
      <c r="D56" s="40">
        <v>818</v>
      </c>
      <c r="E56" s="40"/>
      <c r="F56" s="42" t="s">
        <v>245</v>
      </c>
      <c r="G56" s="42" t="s">
        <v>245</v>
      </c>
      <c r="H56" s="37"/>
      <c r="I56" s="37">
        <v>100000</v>
      </c>
      <c r="J56" s="43">
        <f t="shared" si="5"/>
        <v>13950663.5</v>
      </c>
      <c r="M56" s="104"/>
      <c r="N56" s="50"/>
      <c r="O56" s="104"/>
      <c r="P56" s="104"/>
      <c r="Q56" s="104"/>
    </row>
    <row r="57" spans="1:17">
      <c r="A57" s="35"/>
      <c r="B57" s="47">
        <v>46268</v>
      </c>
      <c r="C57" s="40">
        <v>22</v>
      </c>
      <c r="D57" s="40">
        <v>926</v>
      </c>
      <c r="E57" s="40"/>
      <c r="F57" s="42" t="s">
        <v>245</v>
      </c>
      <c r="G57" s="42" t="s">
        <v>245</v>
      </c>
      <c r="H57" s="37"/>
      <c r="I57" s="37">
        <v>200000</v>
      </c>
      <c r="J57" s="43">
        <f t="shared" si="5"/>
        <v>13750663.5</v>
      </c>
      <c r="M57" s="104"/>
      <c r="N57" s="50"/>
      <c r="O57" s="104"/>
      <c r="P57" s="104"/>
      <c r="Q57" s="104"/>
    </row>
    <row r="58" spans="1:17">
      <c r="A58" s="35"/>
      <c r="B58" s="47">
        <v>46056</v>
      </c>
      <c r="C58" s="40">
        <v>24</v>
      </c>
      <c r="D58" s="40">
        <v>927</v>
      </c>
      <c r="E58" s="40"/>
      <c r="F58" s="42" t="s">
        <v>267</v>
      </c>
      <c r="G58" s="45" t="s">
        <v>508</v>
      </c>
      <c r="H58" s="37"/>
      <c r="I58" s="37">
        <v>120000</v>
      </c>
      <c r="J58" s="43">
        <f t="shared" si="5"/>
        <v>13630663.5</v>
      </c>
    </row>
    <row r="59" spans="1:17">
      <c r="A59" s="35"/>
      <c r="B59" s="47">
        <v>46287</v>
      </c>
      <c r="C59" s="40">
        <v>25</v>
      </c>
      <c r="D59" s="40">
        <v>990</v>
      </c>
      <c r="E59" s="40" t="s">
        <v>701</v>
      </c>
      <c r="F59" s="42" t="s">
        <v>267</v>
      </c>
      <c r="G59" s="45" t="s">
        <v>458</v>
      </c>
      <c r="H59" s="37"/>
      <c r="I59" s="37">
        <v>199980</v>
      </c>
      <c r="J59" s="43">
        <f t="shared" si="5"/>
        <v>13430683.5</v>
      </c>
    </row>
    <row r="60" spans="1:17">
      <c r="A60" s="35"/>
      <c r="B60" s="47">
        <v>46293</v>
      </c>
      <c r="C60" s="40">
        <v>26</v>
      </c>
      <c r="D60" s="40">
        <v>1022</v>
      </c>
      <c r="E60" s="236"/>
      <c r="F60" s="42" t="s">
        <v>242</v>
      </c>
      <c r="G60" s="45" t="s">
        <v>242</v>
      </c>
      <c r="H60" s="37"/>
      <c r="I60" s="37">
        <v>210240</v>
      </c>
      <c r="J60" s="43">
        <f t="shared" si="5"/>
        <v>13220443.5</v>
      </c>
    </row>
    <row r="61" spans="1:17">
      <c r="A61" s="35"/>
      <c r="B61" s="47"/>
      <c r="C61" s="40"/>
      <c r="D61" s="40"/>
      <c r="E61" s="40"/>
      <c r="F61" s="42"/>
      <c r="G61" s="45"/>
      <c r="H61" s="37"/>
      <c r="I61" s="37"/>
      <c r="J61" s="43">
        <f t="shared" si="5"/>
        <v>13220443.5</v>
      </c>
    </row>
    <row r="62" spans="1:17">
      <c r="B62" s="320" t="s">
        <v>132</v>
      </c>
      <c r="C62" s="321"/>
      <c r="D62" s="321"/>
      <c r="E62" s="321"/>
      <c r="F62" s="321"/>
      <c r="G62" s="321"/>
      <c r="H62" s="321"/>
      <c r="I62" s="321"/>
      <c r="J62" s="322"/>
    </row>
    <row r="63" spans="1:17">
      <c r="A63" s="35"/>
      <c r="B63" s="47"/>
      <c r="C63" s="40"/>
      <c r="D63" s="40"/>
      <c r="E63" s="40"/>
      <c r="F63" s="42" t="s">
        <v>171</v>
      </c>
      <c r="G63" s="42" t="s">
        <v>171</v>
      </c>
      <c r="H63" s="37">
        <f>+SUBVENCION!U23+SUBVENCION!V23</f>
        <v>0</v>
      </c>
      <c r="I63" s="37"/>
      <c r="J63" s="43">
        <f>+J61+H63-I63</f>
        <v>13220443.5</v>
      </c>
      <c r="M63" s="97" t="s">
        <v>5</v>
      </c>
      <c r="N63" s="36" t="s">
        <v>214</v>
      </c>
      <c r="O63" s="97" t="s">
        <v>212</v>
      </c>
      <c r="P63" s="97" t="s">
        <v>213</v>
      </c>
      <c r="Q63" s="97" t="s">
        <v>7</v>
      </c>
    </row>
    <row r="64" spans="1:17">
      <c r="A64" s="35"/>
      <c r="B64" s="47"/>
      <c r="C64" s="40"/>
      <c r="D64" s="40"/>
      <c r="E64" s="40"/>
      <c r="F64" s="42" t="s">
        <v>199</v>
      </c>
      <c r="G64" s="42" t="s">
        <v>199</v>
      </c>
      <c r="H64" s="37"/>
      <c r="I64" s="37"/>
      <c r="J64" s="43">
        <f t="shared" si="5"/>
        <v>13220443.5</v>
      </c>
      <c r="M64" s="115">
        <f>H63</f>
        <v>0</v>
      </c>
      <c r="N64" s="101">
        <f>M64*10%</f>
        <v>0</v>
      </c>
      <c r="O64" s="115">
        <f>I64</f>
        <v>0</v>
      </c>
      <c r="P64" s="115">
        <f>SUM(I65:I72)</f>
        <v>0</v>
      </c>
      <c r="Q64" s="115">
        <f>M64-N64-O64-P64</f>
        <v>0</v>
      </c>
    </row>
    <row r="65" spans="1:17">
      <c r="A65" s="35"/>
      <c r="B65" s="47"/>
      <c r="C65" s="40"/>
      <c r="D65" s="40"/>
      <c r="E65" s="40"/>
      <c r="F65" s="42"/>
      <c r="G65" s="45"/>
      <c r="H65" s="37"/>
      <c r="I65" s="37"/>
      <c r="J65" s="43">
        <f t="shared" si="5"/>
        <v>13220443.5</v>
      </c>
    </row>
    <row r="66" spans="1:17">
      <c r="A66" s="35"/>
      <c r="B66" s="47"/>
      <c r="C66" s="40"/>
      <c r="D66" s="40"/>
      <c r="E66" s="40"/>
      <c r="F66" s="42"/>
      <c r="G66" s="45"/>
      <c r="H66" s="37"/>
      <c r="I66" s="37"/>
      <c r="J66" s="43">
        <f t="shared" si="5"/>
        <v>13220443.5</v>
      </c>
    </row>
    <row r="67" spans="1:17">
      <c r="A67" s="35"/>
      <c r="B67" s="17"/>
      <c r="C67" s="9"/>
      <c r="D67" s="9"/>
      <c r="E67" s="9"/>
      <c r="F67" s="18"/>
      <c r="G67" s="10"/>
      <c r="H67" s="12"/>
      <c r="I67" s="12"/>
      <c r="J67" s="43">
        <f t="shared" si="5"/>
        <v>13220443.5</v>
      </c>
    </row>
    <row r="68" spans="1:17">
      <c r="A68" s="35"/>
      <c r="B68" s="47"/>
      <c r="C68" s="40"/>
      <c r="D68" s="40"/>
      <c r="E68" s="40"/>
      <c r="F68" s="42"/>
      <c r="G68" s="45"/>
      <c r="H68" s="37"/>
      <c r="I68" s="37"/>
      <c r="J68" s="43">
        <f t="shared" si="5"/>
        <v>13220443.5</v>
      </c>
    </row>
    <row r="69" spans="1:17">
      <c r="A69" s="35"/>
      <c r="B69" s="47"/>
      <c r="C69" s="40"/>
      <c r="D69" s="40"/>
      <c r="E69" s="40"/>
      <c r="F69" s="42"/>
      <c r="G69" s="45"/>
      <c r="H69" s="37"/>
      <c r="I69" s="37"/>
      <c r="J69" s="43">
        <f t="shared" si="5"/>
        <v>13220443.5</v>
      </c>
    </row>
    <row r="70" spans="1:17">
      <c r="A70" s="35"/>
      <c r="B70" s="47"/>
      <c r="C70" s="40"/>
      <c r="D70" s="40"/>
      <c r="E70" s="40"/>
      <c r="F70" s="45"/>
      <c r="G70" s="42"/>
      <c r="H70" s="37"/>
      <c r="I70" s="37"/>
      <c r="J70" s="43">
        <f t="shared" si="5"/>
        <v>13220443.5</v>
      </c>
    </row>
    <row r="71" spans="1:17">
      <c r="A71" s="35"/>
      <c r="B71" s="47"/>
      <c r="C71" s="40"/>
      <c r="D71" s="40"/>
      <c r="E71" s="40"/>
      <c r="F71" s="45"/>
      <c r="G71" s="42"/>
      <c r="H71" s="37"/>
      <c r="I71" s="37"/>
      <c r="J71" s="43">
        <f t="shared" si="5"/>
        <v>13220443.5</v>
      </c>
    </row>
    <row r="72" spans="1:17">
      <c r="A72" s="35"/>
      <c r="B72" s="47"/>
      <c r="C72" s="40"/>
      <c r="D72" s="40"/>
      <c r="E72" s="40"/>
      <c r="F72" s="45"/>
      <c r="G72" s="42"/>
      <c r="H72" s="37"/>
      <c r="I72" s="37"/>
      <c r="J72" s="43">
        <f t="shared" si="5"/>
        <v>13220443.5</v>
      </c>
    </row>
    <row r="73" spans="1:17">
      <c r="A73" s="35"/>
      <c r="B73" s="320" t="s">
        <v>133</v>
      </c>
      <c r="C73" s="321"/>
      <c r="D73" s="321"/>
      <c r="E73" s="321"/>
      <c r="F73" s="321"/>
      <c r="G73" s="321"/>
      <c r="H73" s="321"/>
      <c r="I73" s="321"/>
      <c r="J73" s="322"/>
    </row>
    <row r="74" spans="1:17">
      <c r="A74" s="35"/>
      <c r="B74" s="47"/>
      <c r="C74" s="40"/>
      <c r="D74" s="40"/>
      <c r="E74" s="40"/>
      <c r="F74" s="42" t="s">
        <v>171</v>
      </c>
      <c r="G74" s="42" t="s">
        <v>171</v>
      </c>
      <c r="H74" s="37">
        <f>+SUBVENCION!W23+SUBVENCION!X23</f>
        <v>0</v>
      </c>
      <c r="I74" s="37"/>
      <c r="J74" s="43">
        <f>+J72+H74-I74</f>
        <v>13220443.5</v>
      </c>
      <c r="M74" s="97" t="s">
        <v>5</v>
      </c>
      <c r="N74" s="36" t="s">
        <v>214</v>
      </c>
      <c r="O74" s="97" t="s">
        <v>212</v>
      </c>
      <c r="P74" s="97" t="s">
        <v>213</v>
      </c>
      <c r="Q74" s="97" t="s">
        <v>7</v>
      </c>
    </row>
    <row r="75" spans="1:17">
      <c r="A75" s="35"/>
      <c r="B75" s="47"/>
      <c r="C75" s="40"/>
      <c r="D75" s="40"/>
      <c r="E75" s="40"/>
      <c r="F75" s="42" t="s">
        <v>199</v>
      </c>
      <c r="G75" s="42" t="s">
        <v>199</v>
      </c>
      <c r="H75" s="37"/>
      <c r="I75" s="37"/>
      <c r="J75" s="43">
        <f t="shared" si="5"/>
        <v>13220443.5</v>
      </c>
      <c r="M75" s="115"/>
      <c r="N75" s="101"/>
      <c r="O75" s="115"/>
      <c r="P75" s="115"/>
      <c r="Q75" s="115"/>
    </row>
    <row r="76" spans="1:17">
      <c r="A76" s="35"/>
      <c r="B76" s="47"/>
      <c r="C76" s="40"/>
      <c r="D76" s="40"/>
      <c r="E76" s="40"/>
      <c r="F76" s="42"/>
      <c r="G76" s="42"/>
      <c r="H76" s="37"/>
      <c r="I76" s="37"/>
      <c r="J76" s="43">
        <f t="shared" si="5"/>
        <v>13220443.5</v>
      </c>
    </row>
    <row r="77" spans="1:17">
      <c r="A77" s="35"/>
      <c r="B77" s="47"/>
      <c r="C77" s="40"/>
      <c r="D77" s="40"/>
      <c r="E77" s="40"/>
      <c r="F77" s="42"/>
      <c r="G77" s="42"/>
      <c r="H77" s="37"/>
      <c r="I77" s="37"/>
      <c r="J77" s="43">
        <f t="shared" si="5"/>
        <v>13220443.5</v>
      </c>
    </row>
    <row r="78" spans="1:17">
      <c r="A78" s="35"/>
      <c r="B78" s="47"/>
      <c r="C78" s="40"/>
      <c r="D78" s="40"/>
      <c r="E78" s="40"/>
      <c r="F78" s="42"/>
      <c r="G78" s="45"/>
      <c r="H78" s="37"/>
      <c r="I78" s="37"/>
      <c r="J78" s="43">
        <f>+J77+H78-I78</f>
        <v>13220443.5</v>
      </c>
    </row>
    <row r="79" spans="1:17">
      <c r="A79" s="35"/>
      <c r="B79" s="47"/>
      <c r="C79" s="40"/>
      <c r="D79" s="40"/>
      <c r="E79" s="40"/>
      <c r="F79" s="42"/>
      <c r="G79" s="45"/>
      <c r="H79" s="37"/>
      <c r="I79" s="37"/>
      <c r="J79" s="43">
        <f t="shared" ref="J79:J94" si="6">+J78+H79-I79</f>
        <v>13220443.5</v>
      </c>
    </row>
    <row r="80" spans="1:17">
      <c r="A80" s="35"/>
      <c r="B80" s="47"/>
      <c r="C80" s="40"/>
      <c r="D80" s="40"/>
      <c r="E80" s="40"/>
      <c r="F80" s="45"/>
      <c r="G80" s="42"/>
      <c r="H80" s="46"/>
      <c r="I80" s="37"/>
      <c r="J80" s="43">
        <f t="shared" si="6"/>
        <v>13220443.5</v>
      </c>
    </row>
    <row r="81" spans="1:17">
      <c r="A81" s="35"/>
      <c r="B81" s="47"/>
      <c r="C81" s="40"/>
      <c r="D81" s="40"/>
      <c r="E81" s="40"/>
      <c r="F81" s="42"/>
      <c r="G81" s="42"/>
      <c r="H81" s="37"/>
      <c r="I81" s="37"/>
      <c r="J81" s="43">
        <f t="shared" si="6"/>
        <v>13220443.5</v>
      </c>
    </row>
    <row r="82" spans="1:17">
      <c r="A82" s="35"/>
      <c r="B82" s="47"/>
      <c r="C82" s="40"/>
      <c r="D82" s="40"/>
      <c r="E82" s="40"/>
      <c r="F82" s="42"/>
      <c r="G82" s="45"/>
      <c r="H82" s="37"/>
      <c r="I82" s="37"/>
      <c r="J82" s="43">
        <f t="shared" si="6"/>
        <v>13220443.5</v>
      </c>
    </row>
    <row r="83" spans="1:17">
      <c r="A83" s="35"/>
      <c r="B83" s="47"/>
      <c r="C83" s="40"/>
      <c r="D83" s="40"/>
      <c r="E83" s="42"/>
      <c r="F83" s="42"/>
      <c r="G83" s="45"/>
      <c r="H83" s="37"/>
      <c r="I83" s="37"/>
      <c r="J83" s="43">
        <f t="shared" si="6"/>
        <v>13220443.5</v>
      </c>
    </row>
    <row r="84" spans="1:17">
      <c r="A84" s="35"/>
      <c r="B84" s="47"/>
      <c r="C84" s="40"/>
      <c r="D84" s="40"/>
      <c r="E84" s="42"/>
      <c r="F84" s="42"/>
      <c r="G84" s="45"/>
      <c r="H84" s="37"/>
      <c r="I84" s="37"/>
      <c r="J84" s="43">
        <f t="shared" si="6"/>
        <v>13220443.5</v>
      </c>
    </row>
    <row r="85" spans="1:17">
      <c r="A85" s="35"/>
      <c r="B85" s="47"/>
      <c r="C85" s="40"/>
      <c r="D85" s="40"/>
      <c r="E85" s="42"/>
      <c r="F85" s="42"/>
      <c r="G85" s="45"/>
      <c r="H85" s="37"/>
      <c r="I85" s="37"/>
      <c r="J85" s="43">
        <f t="shared" si="6"/>
        <v>13220443.5</v>
      </c>
    </row>
    <row r="86" spans="1:17">
      <c r="A86" s="35"/>
      <c r="B86" s="41"/>
      <c r="C86" s="42"/>
      <c r="D86" s="42"/>
      <c r="E86" s="42"/>
      <c r="F86" s="42"/>
      <c r="G86" s="45"/>
      <c r="H86" s="37"/>
      <c r="I86" s="37"/>
      <c r="J86" s="43">
        <f t="shared" si="6"/>
        <v>13220443.5</v>
      </c>
    </row>
    <row r="87" spans="1:17">
      <c r="A87" s="35"/>
      <c r="B87" s="320" t="s">
        <v>134</v>
      </c>
      <c r="C87" s="321"/>
      <c r="D87" s="321"/>
      <c r="E87" s="321"/>
      <c r="F87" s="321"/>
      <c r="G87" s="321"/>
      <c r="H87" s="321"/>
      <c r="I87" s="321"/>
      <c r="J87" s="322"/>
    </row>
    <row r="88" spans="1:17">
      <c r="A88" s="35"/>
      <c r="B88" s="47"/>
      <c r="C88" s="40"/>
      <c r="D88" s="40"/>
      <c r="E88" s="42"/>
      <c r="F88" s="42" t="s">
        <v>171</v>
      </c>
      <c r="G88" s="42" t="s">
        <v>171</v>
      </c>
      <c r="H88" s="37">
        <f>+SUBVENCION!Y23+SUBVENCION!Z23</f>
        <v>0</v>
      </c>
      <c r="I88" s="37"/>
      <c r="J88" s="43">
        <f>+J86+H88-I88</f>
        <v>13220443.5</v>
      </c>
    </row>
    <row r="89" spans="1:17">
      <c r="A89" s="35"/>
      <c r="B89" s="47"/>
      <c r="C89" s="40"/>
      <c r="D89" s="40"/>
      <c r="E89" s="40"/>
      <c r="F89" s="42" t="s">
        <v>199</v>
      </c>
      <c r="G89" s="42" t="s">
        <v>199</v>
      </c>
      <c r="H89" s="37"/>
      <c r="I89" s="37"/>
      <c r="J89" s="43">
        <f t="shared" si="6"/>
        <v>13220443.5</v>
      </c>
      <c r="M89" s="97" t="s">
        <v>5</v>
      </c>
      <c r="N89" s="36" t="s">
        <v>214</v>
      </c>
      <c r="O89" s="97" t="s">
        <v>212</v>
      </c>
      <c r="P89" s="97" t="s">
        <v>213</v>
      </c>
      <c r="Q89" s="97" t="s">
        <v>7</v>
      </c>
    </row>
    <row r="90" spans="1:17">
      <c r="A90" s="35"/>
      <c r="B90" s="47"/>
      <c r="C90" s="40"/>
      <c r="D90" s="40"/>
      <c r="E90" s="40"/>
      <c r="F90" s="42"/>
      <c r="G90" s="42"/>
      <c r="H90" s="37"/>
      <c r="I90" s="37"/>
      <c r="J90" s="43">
        <f t="shared" si="6"/>
        <v>13220443.5</v>
      </c>
      <c r="M90" s="115"/>
      <c r="N90" s="101"/>
      <c r="O90" s="115"/>
      <c r="P90" s="115"/>
      <c r="Q90" s="115"/>
    </row>
    <row r="91" spans="1:17">
      <c r="A91" s="35"/>
      <c r="B91" s="47"/>
      <c r="C91" s="40"/>
      <c r="D91" s="40"/>
      <c r="E91" s="40"/>
      <c r="F91" s="42"/>
      <c r="G91" s="42"/>
      <c r="H91" s="37"/>
      <c r="I91" s="37"/>
      <c r="J91" s="43">
        <f t="shared" si="6"/>
        <v>13220443.5</v>
      </c>
    </row>
    <row r="92" spans="1:17">
      <c r="A92" s="35"/>
      <c r="B92" s="47"/>
      <c r="C92" s="40"/>
      <c r="D92" s="40"/>
      <c r="E92" s="40"/>
      <c r="F92" s="42"/>
      <c r="G92" s="42"/>
      <c r="H92" s="37"/>
      <c r="I92" s="37"/>
      <c r="J92" s="43">
        <f t="shared" si="6"/>
        <v>13220443.5</v>
      </c>
    </row>
    <row r="93" spans="1:17">
      <c r="A93" s="35"/>
      <c r="B93" s="47"/>
      <c r="C93" s="40"/>
      <c r="D93" s="40"/>
      <c r="E93" s="40"/>
      <c r="F93" s="42"/>
      <c r="G93" s="45"/>
      <c r="H93" s="37"/>
      <c r="I93" s="37"/>
      <c r="J93" s="43">
        <f t="shared" si="6"/>
        <v>13220443.5</v>
      </c>
    </row>
    <row r="94" spans="1:17">
      <c r="A94" s="35"/>
      <c r="B94" s="47"/>
      <c r="C94" s="40"/>
      <c r="D94" s="40"/>
      <c r="E94" s="40"/>
      <c r="F94" s="42" t="s">
        <v>135</v>
      </c>
      <c r="G94" s="45" t="s">
        <v>135</v>
      </c>
      <c r="H94" s="37">
        <f>(H11+H14+H19+H27+H32+H36+H42+H48+H54+H63+H74+H88)*-10%</f>
        <v>-5163091.3000000007</v>
      </c>
      <c r="I94" s="37"/>
      <c r="J94" s="43">
        <f t="shared" si="6"/>
        <v>8057352.1999999993</v>
      </c>
    </row>
    <row r="95" spans="1:17">
      <c r="A95" s="48"/>
      <c r="B95" s="46" t="s">
        <v>8</v>
      </c>
      <c r="C95" s="97" t="s">
        <v>8</v>
      </c>
      <c r="D95" s="97"/>
      <c r="E95" s="97"/>
      <c r="F95" s="97"/>
      <c r="G95" s="97" t="s">
        <v>9</v>
      </c>
      <c r="H95" s="38">
        <f>SUM(H9:H94)</f>
        <v>50644630.200000003</v>
      </c>
      <c r="I95" s="38">
        <f>SUM(I11:I94)</f>
        <v>42587278</v>
      </c>
      <c r="J95" s="38">
        <f>+H95-I95</f>
        <v>8057352.200000003</v>
      </c>
    </row>
    <row r="100" spans="7:10">
      <c r="G100" s="44" t="s">
        <v>210</v>
      </c>
      <c r="H100" s="97" t="s">
        <v>5</v>
      </c>
      <c r="I100" s="97" t="s">
        <v>6</v>
      </c>
      <c r="J100" s="97" t="s">
        <v>198</v>
      </c>
    </row>
    <row r="101" spans="7:10">
      <c r="H101" s="146">
        <f>+H95</f>
        <v>50644630.200000003</v>
      </c>
      <c r="I101" s="43">
        <f>+I95</f>
        <v>42587278</v>
      </c>
      <c r="J101" s="143">
        <f>+I101*100/H101</f>
        <v>84.090411622750864</v>
      </c>
    </row>
  </sheetData>
  <autoFilter ref="A8:J95" xr:uid="{00000000-0009-0000-0000-000013000000}"/>
  <mergeCells count="18">
    <mergeCell ref="B47:J47"/>
    <mergeCell ref="B41:J41"/>
    <mergeCell ref="B35:J35"/>
    <mergeCell ref="B31:J31"/>
    <mergeCell ref="B87:J87"/>
    <mergeCell ref="B73:J73"/>
    <mergeCell ref="B62:J62"/>
    <mergeCell ref="B53:J53"/>
    <mergeCell ref="B2:J2"/>
    <mergeCell ref="B3:J3"/>
    <mergeCell ref="B4:J4"/>
    <mergeCell ref="B5:J5"/>
    <mergeCell ref="B6:J6"/>
    <mergeCell ref="B7:J7"/>
    <mergeCell ref="B10:J10"/>
    <mergeCell ref="B13:J13"/>
    <mergeCell ref="B18:J18"/>
    <mergeCell ref="B26:J26"/>
  </mergeCells>
  <conditionalFormatting sqref="H50:I51 H54:J61">
    <cfRule type="cellIs" dxfId="40" priority="10" operator="lessThan">
      <formula>0</formula>
    </cfRule>
  </conditionalFormatting>
  <conditionalFormatting sqref="H65:I65">
    <cfRule type="cellIs" dxfId="39" priority="9" operator="lessThan">
      <formula>0</formula>
    </cfRule>
  </conditionalFormatting>
  <conditionalFormatting sqref="H1:J13 J14 H20:J26 J27 H28:J30 B31 H42:J43 H44:I45 H52:J52 H63:J64 J65:J72 H66:H69 H74:J79 J88 H102:J1048576">
    <cfRule type="cellIs" dxfId="38" priority="17" operator="lessThan">
      <formula>0</formula>
    </cfRule>
  </conditionalFormatting>
  <conditionalFormatting sqref="H15:J18 B35">
    <cfRule type="cellIs" dxfId="37" priority="15" operator="lessThan">
      <formula>0</formula>
    </cfRule>
  </conditionalFormatting>
  <conditionalFormatting sqref="H36:J40">
    <cfRule type="cellIs" dxfId="36" priority="1" operator="lessThan">
      <formula>0</formula>
    </cfRule>
  </conditionalFormatting>
  <conditionalFormatting sqref="H49:J49">
    <cfRule type="cellIs" dxfId="35" priority="11" operator="lessThan">
      <formula>0</formula>
    </cfRule>
  </conditionalFormatting>
  <conditionalFormatting sqref="I46">
    <cfRule type="cellIs" dxfId="34" priority="3" operator="lessThan">
      <formula>0</formula>
    </cfRule>
  </conditionalFormatting>
  <conditionalFormatting sqref="I80">
    <cfRule type="cellIs" dxfId="33" priority="6" operator="lessThan">
      <formula>0</formula>
    </cfRule>
  </conditionalFormatting>
  <conditionalFormatting sqref="I19:J19">
    <cfRule type="cellIs" dxfId="32" priority="4" operator="lessThan">
      <formula>0</formula>
    </cfRule>
  </conditionalFormatting>
  <conditionalFormatting sqref="I48:J48">
    <cfRule type="cellIs" dxfId="31" priority="2" operator="lessThan">
      <formula>0</formula>
    </cfRule>
  </conditionalFormatting>
  <conditionalFormatting sqref="J32:J34 B41 J44:J46 J50:J52 J80:J86 H81:I86 H89:J99">
    <cfRule type="cellIs" dxfId="30" priority="13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9" scale="34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U89"/>
  <sheetViews>
    <sheetView topLeftCell="B40" workbookViewId="0">
      <selection activeCell="L75" sqref="L75"/>
    </sheetView>
  </sheetViews>
  <sheetFormatPr baseColWidth="10" defaultRowHeight="11.25"/>
  <cols>
    <col min="1" max="3" width="11.42578125" style="44"/>
    <col min="4" max="4" width="13.5703125" style="44" bestFit="1" customWidth="1"/>
    <col min="5" max="5" width="11.42578125" style="44"/>
    <col min="6" max="6" width="22.7109375" style="87" bestFit="1" customWidth="1"/>
    <col min="7" max="7" width="25.7109375" style="44" customWidth="1"/>
    <col min="8" max="16384" width="11.42578125" style="44"/>
  </cols>
  <sheetData>
    <row r="1" spans="1:21">
      <c r="A1" s="35"/>
      <c r="B1" s="35"/>
      <c r="C1" s="35"/>
      <c r="D1" s="35"/>
      <c r="E1" s="35"/>
      <c r="F1" s="8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>
      <c r="A4" s="35"/>
      <c r="B4" s="327" t="s">
        <v>118</v>
      </c>
      <c r="C4" s="328"/>
      <c r="D4" s="328"/>
      <c r="E4" s="328"/>
      <c r="F4" s="328"/>
      <c r="G4" s="328"/>
      <c r="H4" s="328"/>
      <c r="I4" s="328"/>
      <c r="J4" s="329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5"/>
      <c r="B5" s="327" t="s">
        <v>207</v>
      </c>
      <c r="C5" s="328"/>
      <c r="D5" s="328"/>
      <c r="E5" s="328"/>
      <c r="F5" s="328"/>
      <c r="G5" s="328"/>
      <c r="H5" s="328"/>
      <c r="I5" s="328"/>
      <c r="J5" s="329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>
      <c r="A6" s="35"/>
      <c r="B6" s="327" t="s">
        <v>117</v>
      </c>
      <c r="C6" s="328"/>
      <c r="D6" s="328"/>
      <c r="E6" s="328"/>
      <c r="F6" s="328"/>
      <c r="G6" s="328"/>
      <c r="H6" s="328"/>
      <c r="I6" s="328"/>
      <c r="J6" s="329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>
      <c r="A7" s="35"/>
      <c r="B7" s="327" t="s">
        <v>74</v>
      </c>
      <c r="C7" s="328"/>
      <c r="D7" s="328"/>
      <c r="E7" s="328"/>
      <c r="F7" s="328"/>
      <c r="G7" s="328"/>
      <c r="H7" s="328"/>
      <c r="I7" s="328"/>
      <c r="J7" s="329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55" t="s">
        <v>70</v>
      </c>
      <c r="G8" s="97" t="s">
        <v>4</v>
      </c>
      <c r="H8" s="36" t="s">
        <v>5</v>
      </c>
      <c r="I8" s="36" t="s">
        <v>6</v>
      </c>
      <c r="J8" s="36" t="s">
        <v>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>
      <c r="A9" s="35"/>
      <c r="B9" s="47"/>
      <c r="C9" s="40"/>
      <c r="D9" s="40"/>
      <c r="E9" s="40"/>
      <c r="F9" s="42"/>
      <c r="G9" s="42" t="s">
        <v>237</v>
      </c>
      <c r="H9" s="52">
        <f>'[1]G-469'!$J$69</f>
        <v>-71783.099999999627</v>
      </c>
      <c r="I9" s="52"/>
      <c r="J9" s="112">
        <f>+H9-I9</f>
        <v>-71783.099999999627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s="49" customFormat="1" ht="15" customHeigh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</row>
    <row r="11" spans="1:21">
      <c r="A11" s="35"/>
      <c r="B11" s="47"/>
      <c r="C11" s="40"/>
      <c r="D11" s="40"/>
      <c r="E11" s="40"/>
      <c r="F11" s="42" t="s">
        <v>171</v>
      </c>
      <c r="G11" s="45" t="s">
        <v>171</v>
      </c>
      <c r="H11" s="37">
        <f>SUBVENCION!C24</f>
        <v>491656</v>
      </c>
      <c r="I11" s="37"/>
      <c r="J11" s="51">
        <f>+H11-I11</f>
        <v>491656</v>
      </c>
      <c r="K11" s="35"/>
      <c r="L11" s="97" t="s">
        <v>5</v>
      </c>
      <c r="M11" s="36" t="s">
        <v>214</v>
      </c>
      <c r="N11" s="97" t="s">
        <v>212</v>
      </c>
      <c r="O11" s="97" t="s">
        <v>213</v>
      </c>
      <c r="P11" s="97" t="s">
        <v>7</v>
      </c>
      <c r="Q11" s="35"/>
      <c r="R11" s="35"/>
      <c r="S11" s="35"/>
      <c r="T11" s="35"/>
      <c r="U11" s="35"/>
    </row>
    <row r="12" spans="1:21">
      <c r="A12" s="35"/>
      <c r="B12" s="47"/>
      <c r="C12" s="40"/>
      <c r="D12" s="40"/>
      <c r="E12" s="40"/>
      <c r="F12" s="42"/>
      <c r="G12" s="45"/>
      <c r="H12" s="37"/>
      <c r="I12" s="37"/>
      <c r="J12" s="51"/>
      <c r="K12" s="35"/>
      <c r="L12" s="231">
        <f>H11</f>
        <v>491656</v>
      </c>
      <c r="M12" s="36">
        <f>L12*10%</f>
        <v>49165.600000000006</v>
      </c>
      <c r="N12" s="196">
        <v>0</v>
      </c>
      <c r="O12" s="97"/>
      <c r="P12" s="231">
        <f>L12-M12-N12-O12</f>
        <v>442490.4</v>
      </c>
      <c r="Q12" s="35"/>
      <c r="R12" s="35"/>
      <c r="S12" s="35"/>
      <c r="T12" s="35"/>
      <c r="U12" s="35"/>
    </row>
    <row r="13" spans="1:21" s="49" customFormat="1" ht="15" customHeight="1">
      <c r="A13" s="48"/>
      <c r="B13" s="330" t="s">
        <v>67</v>
      </c>
      <c r="C13" s="331"/>
      <c r="D13" s="331"/>
      <c r="E13" s="331"/>
      <c r="F13" s="331"/>
      <c r="G13" s="331"/>
      <c r="H13" s="331"/>
      <c r="I13" s="331"/>
      <c r="J13" s="331"/>
      <c r="K13" s="48"/>
      <c r="L13" s="104"/>
      <c r="M13" s="50"/>
      <c r="N13" s="104"/>
      <c r="O13" s="104"/>
      <c r="P13" s="104"/>
      <c r="Q13" s="48"/>
      <c r="R13" s="48"/>
      <c r="S13" s="48"/>
      <c r="T13" s="48"/>
      <c r="U13" s="48"/>
    </row>
    <row r="14" spans="1:21">
      <c r="A14" s="35"/>
      <c r="B14" s="47"/>
      <c r="C14" s="40"/>
      <c r="D14" s="40"/>
      <c r="E14" s="40"/>
      <c r="F14" s="42" t="s">
        <v>171</v>
      </c>
      <c r="G14" s="45" t="s">
        <v>171</v>
      </c>
      <c r="H14" s="37">
        <f>SUBVENCION!E24</f>
        <v>521146</v>
      </c>
      <c r="I14" s="37"/>
      <c r="J14" s="43">
        <f>+J11+H14-I14</f>
        <v>1012802</v>
      </c>
      <c r="K14" s="35"/>
      <c r="L14" s="97" t="s">
        <v>5</v>
      </c>
      <c r="M14" s="36" t="s">
        <v>214</v>
      </c>
      <c r="N14" s="97" t="s">
        <v>212</v>
      </c>
      <c r="O14" s="97" t="s">
        <v>213</v>
      </c>
      <c r="P14" s="97" t="s">
        <v>7</v>
      </c>
      <c r="Q14" s="35"/>
      <c r="R14" s="35"/>
      <c r="S14" s="35"/>
      <c r="T14" s="35"/>
      <c r="U14" s="35"/>
    </row>
    <row r="15" spans="1:21">
      <c r="A15" s="35"/>
      <c r="B15" s="47"/>
      <c r="C15" s="40"/>
      <c r="D15" s="40"/>
      <c r="E15" s="40"/>
      <c r="F15" s="42"/>
      <c r="G15" s="45"/>
      <c r="H15" s="37"/>
      <c r="I15" s="37"/>
      <c r="J15" s="43"/>
      <c r="K15" s="35"/>
      <c r="L15" s="231">
        <f>H14</f>
        <v>521146</v>
      </c>
      <c r="M15" s="36">
        <f>L15*10%</f>
        <v>52114.600000000006</v>
      </c>
      <c r="N15" s="196">
        <v>0</v>
      </c>
      <c r="O15" s="97"/>
      <c r="P15" s="231">
        <f>L15-M15-N15-O15</f>
        <v>469031.4</v>
      </c>
      <c r="Q15" s="35"/>
      <c r="R15" s="35"/>
      <c r="S15" s="35"/>
      <c r="T15" s="35"/>
      <c r="U15" s="35"/>
    </row>
    <row r="16" spans="1:21" s="49" customFormat="1">
      <c r="A16" s="48"/>
      <c r="B16" s="330" t="s">
        <v>68</v>
      </c>
      <c r="C16" s="331"/>
      <c r="D16" s="331"/>
      <c r="E16" s="331"/>
      <c r="F16" s="331"/>
      <c r="G16" s="331"/>
      <c r="H16" s="331"/>
      <c r="I16" s="331"/>
      <c r="J16" s="332"/>
      <c r="K16" s="48"/>
      <c r="L16" s="104"/>
      <c r="M16" s="50"/>
      <c r="N16" s="104"/>
      <c r="O16" s="104"/>
      <c r="P16" s="104"/>
      <c r="Q16" s="48"/>
      <c r="R16" s="48"/>
      <c r="S16" s="48"/>
      <c r="T16" s="48"/>
      <c r="U16" s="48"/>
    </row>
    <row r="17" spans="1:21" s="49" customFormat="1">
      <c r="A17" s="48"/>
      <c r="B17" s="97"/>
      <c r="C17" s="97"/>
      <c r="D17" s="97"/>
      <c r="E17" s="97"/>
      <c r="F17" s="42" t="s">
        <v>171</v>
      </c>
      <c r="G17" s="45" t="s">
        <v>171</v>
      </c>
      <c r="H17" s="37">
        <f>SUBVENCION!G24</f>
        <v>501486</v>
      </c>
      <c r="I17" s="97"/>
      <c r="J17" s="112">
        <f>+J14+H17-I17</f>
        <v>1514288</v>
      </c>
      <c r="K17" s="48"/>
      <c r="L17" s="97" t="s">
        <v>5</v>
      </c>
      <c r="M17" s="36" t="s">
        <v>214</v>
      </c>
      <c r="N17" s="97" t="s">
        <v>212</v>
      </c>
      <c r="O17" s="97" t="s">
        <v>213</v>
      </c>
      <c r="P17" s="97" t="s">
        <v>7</v>
      </c>
      <c r="Q17" s="48"/>
      <c r="R17" s="48"/>
      <c r="S17" s="48"/>
      <c r="T17" s="48"/>
      <c r="U17" s="48"/>
    </row>
    <row r="18" spans="1:21" s="49" customFormat="1">
      <c r="A18" s="48"/>
      <c r="B18" s="47">
        <v>46112</v>
      </c>
      <c r="C18" s="42">
        <v>3</v>
      </c>
      <c r="D18" s="40">
        <v>202</v>
      </c>
      <c r="E18" s="40">
        <v>418</v>
      </c>
      <c r="F18" s="42" t="s">
        <v>278</v>
      </c>
      <c r="G18" s="42" t="s">
        <v>281</v>
      </c>
      <c r="H18" s="37"/>
      <c r="I18" s="116">
        <v>195160</v>
      </c>
      <c r="J18" s="112">
        <f>+J17+H18-I18</f>
        <v>1319128</v>
      </c>
      <c r="K18" s="48"/>
      <c r="L18" s="231">
        <f>H17</f>
        <v>501486</v>
      </c>
      <c r="M18" s="36">
        <f>H17*10%</f>
        <v>50148.600000000006</v>
      </c>
      <c r="N18" s="196">
        <v>0</v>
      </c>
      <c r="O18" s="97"/>
      <c r="P18" s="231">
        <f>L18-M18-N18-O18</f>
        <v>451337.4</v>
      </c>
      <c r="Q18" s="48"/>
      <c r="R18" s="48"/>
      <c r="S18" s="48"/>
      <c r="T18" s="48"/>
      <c r="U18" s="48"/>
    </row>
    <row r="19" spans="1:21" s="49" customFormat="1">
      <c r="A19" s="48"/>
      <c r="B19" s="47"/>
      <c r="C19" s="42"/>
      <c r="D19" s="40"/>
      <c r="E19" s="40"/>
      <c r="F19" s="42"/>
      <c r="G19" s="42"/>
      <c r="H19" s="37"/>
      <c r="I19" s="116"/>
      <c r="J19" s="112">
        <f t="shared" ref="J19:J20" si="0">+J18+H19-I19</f>
        <v>1319128</v>
      </c>
      <c r="K19" s="48"/>
      <c r="L19" s="104"/>
      <c r="M19" s="50"/>
      <c r="N19" s="104"/>
      <c r="O19" s="104"/>
      <c r="P19" s="104"/>
      <c r="Q19" s="48"/>
      <c r="R19" s="48"/>
      <c r="S19" s="48"/>
      <c r="T19" s="48"/>
      <c r="U19" s="48"/>
    </row>
    <row r="20" spans="1:21" s="49" customFormat="1">
      <c r="A20" s="48"/>
      <c r="B20" s="47"/>
      <c r="C20" s="42"/>
      <c r="D20" s="40"/>
      <c r="E20" s="40"/>
      <c r="F20" s="42"/>
      <c r="G20" s="42"/>
      <c r="H20" s="37"/>
      <c r="I20" s="116"/>
      <c r="J20" s="112">
        <f t="shared" si="0"/>
        <v>1319128</v>
      </c>
      <c r="K20" s="48"/>
      <c r="O20" s="48"/>
      <c r="P20" s="48"/>
      <c r="Q20" s="48"/>
      <c r="R20" s="48"/>
      <c r="S20" s="48"/>
      <c r="T20" s="48"/>
      <c r="U20" s="48"/>
    </row>
    <row r="21" spans="1:21" s="49" customFormat="1">
      <c r="A21" s="48"/>
      <c r="B21" s="330" t="s">
        <v>69</v>
      </c>
      <c r="C21" s="331"/>
      <c r="D21" s="331"/>
      <c r="E21" s="331"/>
      <c r="F21" s="331"/>
      <c r="G21" s="331"/>
      <c r="H21" s="331"/>
      <c r="I21" s="331"/>
      <c r="J21" s="332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</row>
    <row r="22" spans="1:21" s="49" customFormat="1">
      <c r="A22" s="48"/>
      <c r="B22" s="97"/>
      <c r="C22" s="97"/>
      <c r="D22" s="97"/>
      <c r="E22" s="97"/>
      <c r="F22" s="42" t="s">
        <v>171</v>
      </c>
      <c r="G22" s="45" t="s">
        <v>171</v>
      </c>
      <c r="H22" s="37">
        <f>SUBVENCION!I24</f>
        <v>417905</v>
      </c>
      <c r="I22" s="97"/>
      <c r="J22" s="112">
        <f>+J20+H22-I22</f>
        <v>1737033</v>
      </c>
      <c r="K22" s="48"/>
      <c r="L22" s="97" t="s">
        <v>5</v>
      </c>
      <c r="M22" s="36" t="s">
        <v>214</v>
      </c>
      <c r="N22" s="97" t="s">
        <v>212</v>
      </c>
      <c r="O22" s="97" t="s">
        <v>213</v>
      </c>
      <c r="P22" s="97" t="s">
        <v>7</v>
      </c>
      <c r="Q22" s="48"/>
      <c r="R22" s="48"/>
      <c r="S22" s="48"/>
      <c r="T22" s="48"/>
      <c r="U22" s="48"/>
    </row>
    <row r="23" spans="1:21">
      <c r="A23" s="35"/>
      <c r="B23" s="47"/>
      <c r="C23" s="40"/>
      <c r="D23" s="40"/>
      <c r="E23" s="40"/>
      <c r="F23" s="42"/>
      <c r="G23" s="45"/>
      <c r="H23" s="37"/>
      <c r="I23" s="37"/>
      <c r="J23" s="43">
        <f>+J22+H23-I23</f>
        <v>1737033</v>
      </c>
      <c r="K23" s="35"/>
      <c r="L23" s="231">
        <f>H22</f>
        <v>417905</v>
      </c>
      <c r="M23" s="36">
        <f>L23*10%</f>
        <v>41790.5</v>
      </c>
      <c r="N23" s="196">
        <v>0</v>
      </c>
      <c r="O23" s="231">
        <f>I24</f>
        <v>207300</v>
      </c>
      <c r="P23" s="196">
        <f>L23-M23-N23-O23</f>
        <v>168814.5</v>
      </c>
      <c r="Q23" s="35"/>
      <c r="R23" s="35"/>
      <c r="S23" s="35"/>
      <c r="T23" s="35"/>
      <c r="U23" s="35"/>
    </row>
    <row r="24" spans="1:21">
      <c r="A24" s="35"/>
      <c r="B24" s="47">
        <v>46118</v>
      </c>
      <c r="C24" s="40">
        <v>4</v>
      </c>
      <c r="D24" s="40">
        <v>227</v>
      </c>
      <c r="E24" s="40">
        <v>402</v>
      </c>
      <c r="F24" s="42" t="s">
        <v>267</v>
      </c>
      <c r="G24" s="42" t="s">
        <v>240</v>
      </c>
      <c r="H24" s="37"/>
      <c r="I24" s="37">
        <v>207300</v>
      </c>
      <c r="J24" s="43">
        <f t="shared" ref="J24:J25" si="1">+J23+H24-I24</f>
        <v>1529733</v>
      </c>
      <c r="K24" s="35"/>
      <c r="L24" s="104"/>
      <c r="M24" s="50"/>
      <c r="N24" s="104"/>
      <c r="O24" s="104"/>
      <c r="P24" s="104"/>
      <c r="Q24" s="35"/>
      <c r="R24" s="35"/>
      <c r="S24" s="35"/>
      <c r="T24" s="35"/>
      <c r="U24" s="35"/>
    </row>
    <row r="25" spans="1:21">
      <c r="A25" s="35"/>
      <c r="B25" s="47"/>
      <c r="C25" s="40"/>
      <c r="D25" s="40"/>
      <c r="E25" s="40"/>
      <c r="F25" s="42"/>
      <c r="G25" s="45"/>
      <c r="H25" s="37"/>
      <c r="I25" s="37"/>
      <c r="J25" s="43">
        <f t="shared" si="1"/>
        <v>1529733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>
      <c r="A26" s="35"/>
      <c r="B26" s="330" t="s">
        <v>120</v>
      </c>
      <c r="C26" s="331"/>
      <c r="D26" s="331"/>
      <c r="E26" s="331"/>
      <c r="F26" s="331"/>
      <c r="G26" s="331"/>
      <c r="H26" s="331"/>
      <c r="I26" s="331"/>
      <c r="J26" s="332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>
      <c r="A27" s="35"/>
      <c r="B27" s="47"/>
      <c r="C27" s="40"/>
      <c r="D27" s="40"/>
      <c r="E27" s="40"/>
      <c r="F27" s="42" t="s">
        <v>171</v>
      </c>
      <c r="G27" s="45" t="s">
        <v>171</v>
      </c>
      <c r="H27" s="37">
        <f>SUBVENCION!K24</f>
        <v>417905</v>
      </c>
      <c r="I27" s="37"/>
      <c r="J27" s="43">
        <f>+J25+H27-I27</f>
        <v>1947638</v>
      </c>
      <c r="K27" s="35"/>
      <c r="L27" s="97" t="s">
        <v>5</v>
      </c>
      <c r="M27" s="36" t="s">
        <v>214</v>
      </c>
      <c r="N27" s="97" t="s">
        <v>212</v>
      </c>
      <c r="O27" s="97" t="s">
        <v>213</v>
      </c>
      <c r="P27" s="97" t="s">
        <v>7</v>
      </c>
      <c r="Q27" s="35"/>
      <c r="R27" s="35"/>
      <c r="S27" s="35"/>
      <c r="T27" s="35"/>
      <c r="U27" s="35"/>
    </row>
    <row r="28" spans="1:21">
      <c r="A28" s="35"/>
      <c r="B28" s="47">
        <v>46153</v>
      </c>
      <c r="C28" s="40">
        <v>9</v>
      </c>
      <c r="D28" s="40">
        <v>426</v>
      </c>
      <c r="E28" s="40">
        <v>976</v>
      </c>
      <c r="F28" s="42" t="s">
        <v>242</v>
      </c>
      <c r="G28" s="42" t="s">
        <v>242</v>
      </c>
      <c r="H28" s="37"/>
      <c r="I28" s="37">
        <v>207800</v>
      </c>
      <c r="J28" s="43">
        <f>+J27+H28-I28</f>
        <v>1739838</v>
      </c>
      <c r="K28" s="35"/>
      <c r="L28" s="231">
        <f>H27</f>
        <v>417905</v>
      </c>
      <c r="M28" s="36">
        <f>L28*10%</f>
        <v>41790.5</v>
      </c>
      <c r="N28" s="196">
        <v>0</v>
      </c>
      <c r="O28" s="231">
        <f>I34+I35</f>
        <v>402159</v>
      </c>
      <c r="P28" s="287">
        <f>L28-M28-N28-O28</f>
        <v>-26044.5</v>
      </c>
      <c r="Q28" s="35"/>
      <c r="R28" s="35"/>
      <c r="S28" s="35"/>
      <c r="T28" s="35"/>
      <c r="U28" s="35"/>
    </row>
    <row r="29" spans="1:21">
      <c r="A29" s="35"/>
      <c r="B29" s="47">
        <v>46156</v>
      </c>
      <c r="C29" s="40">
        <v>10</v>
      </c>
      <c r="D29" s="40">
        <v>452</v>
      </c>
      <c r="E29" s="40">
        <v>748</v>
      </c>
      <c r="F29" s="42" t="s">
        <v>267</v>
      </c>
      <c r="G29" s="42" t="s">
        <v>240</v>
      </c>
      <c r="H29" s="37"/>
      <c r="I29" s="37">
        <v>206999</v>
      </c>
      <c r="J29" s="43">
        <f>+J28+H29-I29</f>
        <v>1532839</v>
      </c>
      <c r="K29" s="35"/>
      <c r="L29" s="104"/>
      <c r="M29" s="50"/>
      <c r="N29" s="104"/>
      <c r="O29" s="104"/>
      <c r="P29" s="104"/>
      <c r="Q29" s="35"/>
      <c r="R29" s="35"/>
      <c r="S29" s="35"/>
      <c r="T29" s="35"/>
      <c r="U29" s="35"/>
    </row>
    <row r="30" spans="1:21">
      <c r="A30" s="35"/>
      <c r="B30" s="47">
        <v>46160</v>
      </c>
      <c r="C30" s="40">
        <v>11</v>
      </c>
      <c r="D30" s="40">
        <v>457</v>
      </c>
      <c r="E30" s="40">
        <v>745</v>
      </c>
      <c r="F30" s="42" t="s">
        <v>267</v>
      </c>
      <c r="G30" s="42" t="s">
        <v>240</v>
      </c>
      <c r="H30" s="37"/>
      <c r="I30" s="37">
        <v>207580</v>
      </c>
      <c r="J30" s="43">
        <f t="shared" ref="J30:J31" si="2">+J29+H30-I30</f>
        <v>1325259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>
      <c r="A31" s="35"/>
      <c r="B31" s="47"/>
      <c r="C31" s="40"/>
      <c r="D31" s="40"/>
      <c r="E31" s="40"/>
      <c r="F31" s="42"/>
      <c r="G31" s="42"/>
      <c r="H31" s="37"/>
      <c r="I31" s="37"/>
      <c r="J31" s="43">
        <f t="shared" si="2"/>
        <v>1325259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>
      <c r="A32" s="35"/>
      <c r="B32" s="330" t="s">
        <v>129</v>
      </c>
      <c r="C32" s="331"/>
      <c r="D32" s="331"/>
      <c r="E32" s="331"/>
      <c r="F32" s="331"/>
      <c r="G32" s="331"/>
      <c r="H32" s="331"/>
      <c r="I32" s="331"/>
      <c r="J32" s="332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>
      <c r="A33" s="35"/>
      <c r="B33" s="47"/>
      <c r="C33" s="40"/>
      <c r="D33" s="40"/>
      <c r="E33" s="40"/>
      <c r="F33" s="42" t="s">
        <v>171</v>
      </c>
      <c r="G33" s="45" t="s">
        <v>171</v>
      </c>
      <c r="H33" s="12">
        <f>SUBVENCION!M24</f>
        <v>340178</v>
      </c>
      <c r="I33" s="37"/>
      <c r="J33" s="43">
        <f>+J31+H33-I33</f>
        <v>1665437</v>
      </c>
      <c r="K33" s="35"/>
      <c r="L33" s="97" t="s">
        <v>5</v>
      </c>
      <c r="M33" s="36" t="s">
        <v>214</v>
      </c>
      <c r="N33" s="97" t="s">
        <v>212</v>
      </c>
      <c r="O33" s="97" t="s">
        <v>213</v>
      </c>
      <c r="P33" s="97" t="s">
        <v>7</v>
      </c>
      <c r="Q33" s="35"/>
      <c r="R33" s="35"/>
      <c r="S33" s="35"/>
      <c r="T33" s="35"/>
      <c r="U33" s="35"/>
    </row>
    <row r="34" spans="1:21">
      <c r="B34" s="47">
        <v>46182</v>
      </c>
      <c r="C34" s="40">
        <v>12</v>
      </c>
      <c r="D34" s="40">
        <v>568</v>
      </c>
      <c r="E34" s="40">
        <v>950</v>
      </c>
      <c r="F34" s="42" t="s">
        <v>267</v>
      </c>
      <c r="G34" s="42" t="s">
        <v>240</v>
      </c>
      <c r="H34" s="37"/>
      <c r="I34" s="37">
        <v>206999</v>
      </c>
      <c r="J34" s="43">
        <f>+J33+H34-I34</f>
        <v>1458438</v>
      </c>
      <c r="L34" s="231">
        <f>H33</f>
        <v>340178</v>
      </c>
      <c r="M34" s="36">
        <f>L34*10%</f>
        <v>34017.800000000003</v>
      </c>
      <c r="N34" s="196">
        <v>0</v>
      </c>
      <c r="O34" s="231">
        <f>I34+I35</f>
        <v>402159</v>
      </c>
      <c r="P34" s="287">
        <f>L34-M34-N34-O34</f>
        <v>-95998.799999999988</v>
      </c>
    </row>
    <row r="35" spans="1:21">
      <c r="B35" s="47">
        <v>46189</v>
      </c>
      <c r="C35" s="40">
        <v>13</v>
      </c>
      <c r="D35" s="40">
        <v>592</v>
      </c>
      <c r="E35" s="40">
        <v>965</v>
      </c>
      <c r="F35" s="42" t="s">
        <v>278</v>
      </c>
      <c r="G35" s="42" t="s">
        <v>281</v>
      </c>
      <c r="H35" s="37"/>
      <c r="I35" s="37">
        <v>195160</v>
      </c>
      <c r="J35" s="43">
        <f t="shared" ref="J35:J36" si="3">+J34+H35-I35</f>
        <v>1263278</v>
      </c>
      <c r="L35" s="104"/>
      <c r="M35" s="50"/>
      <c r="N35" s="104"/>
      <c r="O35" s="104"/>
      <c r="P35" s="104"/>
    </row>
    <row r="36" spans="1:21">
      <c r="B36" s="47"/>
      <c r="C36" s="40"/>
      <c r="D36" s="40"/>
      <c r="E36" s="40"/>
      <c r="F36" s="42"/>
      <c r="G36" s="42"/>
      <c r="H36" s="37"/>
      <c r="I36" s="37"/>
      <c r="J36" s="43">
        <f t="shared" si="3"/>
        <v>1263278</v>
      </c>
      <c r="L36" s="104"/>
      <c r="M36" s="50"/>
      <c r="N36" s="104"/>
      <c r="O36" s="104"/>
      <c r="P36" s="104"/>
    </row>
    <row r="37" spans="1:21">
      <c r="B37" s="330" t="s">
        <v>65</v>
      </c>
      <c r="C37" s="331"/>
      <c r="D37" s="331"/>
      <c r="E37" s="331"/>
      <c r="F37" s="331"/>
      <c r="G37" s="331"/>
      <c r="H37" s="331"/>
      <c r="I37" s="331"/>
      <c r="J37" s="332"/>
    </row>
    <row r="38" spans="1:21">
      <c r="B38" s="47"/>
      <c r="C38" s="40"/>
      <c r="D38" s="40"/>
      <c r="E38" s="40"/>
      <c r="F38" s="42" t="s">
        <v>171</v>
      </c>
      <c r="G38" s="45" t="s">
        <v>171</v>
      </c>
      <c r="H38" s="218">
        <f>+SUBVENCION!O24+SUBVENCION!P24</f>
        <v>423759</v>
      </c>
      <c r="I38" s="37"/>
      <c r="J38" s="43">
        <f>+J36+H38-I38</f>
        <v>1687037</v>
      </c>
      <c r="L38" s="97" t="s">
        <v>5</v>
      </c>
      <c r="M38" s="36" t="s">
        <v>214</v>
      </c>
      <c r="N38" s="97" t="s">
        <v>212</v>
      </c>
      <c r="O38" s="97" t="s">
        <v>213</v>
      </c>
      <c r="P38" s="97" t="s">
        <v>7</v>
      </c>
    </row>
    <row r="39" spans="1:21">
      <c r="B39" s="47">
        <v>46210</v>
      </c>
      <c r="C39" s="40">
        <v>16</v>
      </c>
      <c r="D39" s="40">
        <v>616</v>
      </c>
      <c r="E39" s="40">
        <v>1162</v>
      </c>
      <c r="F39" s="42" t="s">
        <v>278</v>
      </c>
      <c r="G39" s="42" t="s">
        <v>302</v>
      </c>
      <c r="H39" s="37"/>
      <c r="I39" s="37">
        <v>157675</v>
      </c>
      <c r="J39" s="43">
        <f>+J38+H39-I39</f>
        <v>1529362</v>
      </c>
      <c r="L39" s="231">
        <f>H38</f>
        <v>423759</v>
      </c>
      <c r="M39" s="36">
        <f>L39*10%</f>
        <v>42375.9</v>
      </c>
      <c r="N39" s="196"/>
      <c r="O39" s="231">
        <f>I39</f>
        <v>157675</v>
      </c>
      <c r="P39" s="196">
        <f>L39-M39-N39-O39</f>
        <v>223708.09999999998</v>
      </c>
    </row>
    <row r="40" spans="1:21">
      <c r="B40" s="320" t="s">
        <v>130</v>
      </c>
      <c r="C40" s="321"/>
      <c r="D40" s="321"/>
      <c r="E40" s="321"/>
      <c r="F40" s="321"/>
      <c r="G40" s="321"/>
      <c r="H40" s="321"/>
      <c r="I40" s="321"/>
      <c r="J40" s="322"/>
      <c r="L40" s="104"/>
      <c r="M40" s="50"/>
      <c r="N40" s="104"/>
      <c r="O40" s="104"/>
      <c r="P40" s="104"/>
    </row>
    <row r="41" spans="1:21">
      <c r="B41" s="47"/>
      <c r="C41" s="40"/>
      <c r="D41" s="40"/>
      <c r="E41" s="40"/>
      <c r="F41" s="42" t="s">
        <v>171</v>
      </c>
      <c r="G41" s="45" t="s">
        <v>171</v>
      </c>
      <c r="H41" s="37">
        <f>+SUBVENCION!Q24+SUBVENCION!R24</f>
        <v>423759</v>
      </c>
      <c r="I41" s="37"/>
      <c r="J41" s="43">
        <f>+J39+H41-I41</f>
        <v>1953121</v>
      </c>
    </row>
    <row r="42" spans="1:21">
      <c r="B42" s="47">
        <v>46186</v>
      </c>
      <c r="C42" s="40">
        <v>20</v>
      </c>
      <c r="D42" s="40">
        <v>791</v>
      </c>
      <c r="E42" s="40">
        <v>1297</v>
      </c>
      <c r="F42" s="42" t="s">
        <v>267</v>
      </c>
      <c r="G42" s="45" t="s">
        <v>639</v>
      </c>
      <c r="H42" s="37"/>
      <c r="I42" s="37">
        <v>209400</v>
      </c>
      <c r="J42" s="43">
        <f>+J41+H42-I42</f>
        <v>1743721</v>
      </c>
      <c r="L42" s="97" t="s">
        <v>5</v>
      </c>
      <c r="M42" s="36" t="s">
        <v>214</v>
      </c>
      <c r="N42" s="97" t="s">
        <v>212</v>
      </c>
      <c r="O42" s="97" t="s">
        <v>213</v>
      </c>
      <c r="P42" s="97" t="s">
        <v>7</v>
      </c>
    </row>
    <row r="43" spans="1:21">
      <c r="B43" s="47">
        <v>46252</v>
      </c>
      <c r="C43" s="40">
        <v>21</v>
      </c>
      <c r="D43" s="40">
        <v>820</v>
      </c>
      <c r="E43" s="40">
        <v>1390</v>
      </c>
      <c r="F43" s="42" t="s">
        <v>661</v>
      </c>
      <c r="G43" s="45" t="s">
        <v>620</v>
      </c>
      <c r="H43" s="37"/>
      <c r="I43" s="37">
        <v>212330</v>
      </c>
      <c r="J43" s="43">
        <f t="shared" ref="J43:J45" si="4">+J42+H43-I43</f>
        <v>1531391</v>
      </c>
      <c r="L43" s="231">
        <f>H41</f>
        <v>423759</v>
      </c>
      <c r="M43" s="36">
        <f>L43*10%</f>
        <v>42375.9</v>
      </c>
      <c r="N43" s="196"/>
      <c r="O43" s="231">
        <f>I42+I43+I44</f>
        <v>617640</v>
      </c>
      <c r="P43" s="231">
        <f>L43-M43-O43</f>
        <v>-236256.90000000002</v>
      </c>
    </row>
    <row r="44" spans="1:21">
      <c r="B44" s="47">
        <v>46252</v>
      </c>
      <c r="C44" s="40">
        <v>23</v>
      </c>
      <c r="D44" s="40">
        <v>830</v>
      </c>
      <c r="E44" s="40">
        <v>1414</v>
      </c>
      <c r="F44" s="42" t="s">
        <v>554</v>
      </c>
      <c r="G44" s="45" t="s">
        <v>667</v>
      </c>
      <c r="H44" s="37"/>
      <c r="I44" s="37">
        <v>195910</v>
      </c>
      <c r="J44" s="43">
        <f t="shared" si="4"/>
        <v>1335481</v>
      </c>
      <c r="L44" s="186"/>
      <c r="M44" s="232"/>
      <c r="N44" s="274"/>
      <c r="O44" s="186"/>
      <c r="P44" s="186"/>
    </row>
    <row r="45" spans="1:21">
      <c r="B45" s="47"/>
      <c r="C45" s="40"/>
      <c r="D45" s="40"/>
      <c r="E45" s="40"/>
      <c r="F45" s="42"/>
      <c r="G45" s="45"/>
      <c r="H45" s="37"/>
      <c r="I45" s="37"/>
      <c r="J45" s="43">
        <f t="shared" si="4"/>
        <v>1335481</v>
      </c>
      <c r="L45" s="104"/>
      <c r="M45" s="50"/>
      <c r="N45" s="104"/>
      <c r="O45" s="104"/>
      <c r="P45" s="104"/>
    </row>
    <row r="46" spans="1:21">
      <c r="B46" s="320" t="s">
        <v>131</v>
      </c>
      <c r="C46" s="321"/>
      <c r="D46" s="321"/>
      <c r="E46" s="321"/>
      <c r="F46" s="321"/>
      <c r="G46" s="321"/>
      <c r="H46" s="321"/>
      <c r="I46" s="321"/>
      <c r="J46" s="322"/>
      <c r="L46" s="97" t="s">
        <v>5</v>
      </c>
      <c r="M46" s="36" t="s">
        <v>214</v>
      </c>
      <c r="N46" s="97" t="s">
        <v>212</v>
      </c>
      <c r="O46" s="97" t="s">
        <v>213</v>
      </c>
      <c r="P46" s="97" t="s">
        <v>7</v>
      </c>
    </row>
    <row r="47" spans="1:21">
      <c r="B47" s="47"/>
      <c r="C47" s="40"/>
      <c r="D47" s="40"/>
      <c r="E47" s="40"/>
      <c r="F47" s="42" t="s">
        <v>171</v>
      </c>
      <c r="G47" s="45" t="s">
        <v>171</v>
      </c>
      <c r="H47" s="12">
        <f>+SUBVENCION!S24+SUBVENCION!T24</f>
        <v>423759</v>
      </c>
      <c r="I47" s="37"/>
      <c r="J47" s="43">
        <f>J45+H47-I47</f>
        <v>1759240</v>
      </c>
      <c r="L47" s="231">
        <f>H47</f>
        <v>423759</v>
      </c>
      <c r="M47" s="36">
        <f>L47*10%</f>
        <v>42375.9</v>
      </c>
      <c r="N47" s="196"/>
      <c r="O47" s="231">
        <f>SUM(I49:I50)</f>
        <v>429970</v>
      </c>
      <c r="P47" s="231">
        <f>L47-M47-N47-O47</f>
        <v>-48586.900000000023</v>
      </c>
    </row>
    <row r="48" spans="1:21">
      <c r="B48" s="47"/>
      <c r="C48" s="40"/>
      <c r="D48" s="40"/>
      <c r="E48" s="40"/>
      <c r="F48" s="42"/>
      <c r="G48" s="45"/>
      <c r="H48" s="12"/>
      <c r="I48" s="37"/>
      <c r="J48" s="43">
        <f>J47+H48-I48</f>
        <v>1759240</v>
      </c>
      <c r="L48" s="186"/>
      <c r="M48" s="232"/>
      <c r="N48" s="274"/>
      <c r="O48" s="186"/>
      <c r="P48" s="186"/>
    </row>
    <row r="49" spans="2:16">
      <c r="B49" s="47">
        <v>46281</v>
      </c>
      <c r="C49" s="40">
        <v>30</v>
      </c>
      <c r="D49" s="40">
        <v>985</v>
      </c>
      <c r="E49" s="40"/>
      <c r="F49" s="42" t="s">
        <v>267</v>
      </c>
      <c r="G49" s="45" t="s">
        <v>516</v>
      </c>
      <c r="H49" s="12"/>
      <c r="I49" s="37">
        <v>215000</v>
      </c>
      <c r="J49" s="43">
        <f>J48+H49-I49</f>
        <v>1544240</v>
      </c>
      <c r="L49" s="186"/>
      <c r="M49" s="232"/>
      <c r="N49" s="274"/>
      <c r="O49" s="186"/>
      <c r="P49" s="186"/>
    </row>
    <row r="50" spans="2:16">
      <c r="B50" s="47">
        <v>46294</v>
      </c>
      <c r="C50" s="40">
        <v>31</v>
      </c>
      <c r="D50" s="40">
        <v>1045</v>
      </c>
      <c r="E50" s="40" t="s">
        <v>701</v>
      </c>
      <c r="F50" s="42" t="s">
        <v>267</v>
      </c>
      <c r="G50" s="45" t="s">
        <v>273</v>
      </c>
      <c r="H50" s="12"/>
      <c r="I50" s="37">
        <v>214970</v>
      </c>
      <c r="J50" s="43">
        <f t="shared" ref="J50:J52" si="5">J49+H50-I50</f>
        <v>1329270</v>
      </c>
      <c r="L50" s="186"/>
      <c r="M50" s="232"/>
      <c r="N50" s="274"/>
      <c r="O50" s="186"/>
      <c r="P50" s="186"/>
    </row>
    <row r="51" spans="2:16">
      <c r="B51" s="47"/>
      <c r="C51" s="40"/>
      <c r="D51" s="40"/>
      <c r="E51" s="40"/>
      <c r="F51" s="42"/>
      <c r="G51" s="45"/>
      <c r="H51" s="37"/>
      <c r="I51" s="37"/>
      <c r="J51" s="43">
        <f t="shared" si="5"/>
        <v>1329270</v>
      </c>
      <c r="L51" s="186"/>
      <c r="M51" s="232"/>
      <c r="N51" s="186"/>
      <c r="O51" s="186"/>
      <c r="P51" s="186"/>
    </row>
    <row r="52" spans="2:16">
      <c r="B52" s="47"/>
      <c r="C52" s="40"/>
      <c r="D52" s="40"/>
      <c r="E52" s="40"/>
      <c r="F52" s="42"/>
      <c r="G52" s="45"/>
      <c r="H52" s="37"/>
      <c r="I52" s="37"/>
      <c r="J52" s="43">
        <f t="shared" si="5"/>
        <v>1329270</v>
      </c>
      <c r="L52" s="186"/>
      <c r="M52" s="232"/>
      <c r="N52" s="186"/>
      <c r="O52" s="186"/>
      <c r="P52" s="186"/>
    </row>
    <row r="53" spans="2:16">
      <c r="B53" s="320" t="s">
        <v>132</v>
      </c>
      <c r="C53" s="321"/>
      <c r="D53" s="321"/>
      <c r="E53" s="321"/>
      <c r="F53" s="321"/>
      <c r="G53" s="321"/>
      <c r="H53" s="321"/>
      <c r="I53" s="321"/>
      <c r="J53" s="322"/>
      <c r="L53" s="104"/>
      <c r="M53" s="50"/>
      <c r="N53" s="104"/>
      <c r="O53" s="104"/>
      <c r="P53" s="104"/>
    </row>
    <row r="54" spans="2:16">
      <c r="B54" s="47"/>
      <c r="C54" s="40"/>
      <c r="D54" s="40"/>
      <c r="E54" s="40"/>
      <c r="F54" s="42" t="s">
        <v>171</v>
      </c>
      <c r="G54" s="45" t="s">
        <v>171</v>
      </c>
      <c r="H54" s="37">
        <f>+SUBVENCION!U24+SUBVENCION!V24</f>
        <v>0</v>
      </c>
      <c r="I54" s="37"/>
      <c r="J54" s="43">
        <f>+J52+H54-I54</f>
        <v>1329270</v>
      </c>
      <c r="L54" s="97" t="s">
        <v>5</v>
      </c>
      <c r="M54" s="36" t="s">
        <v>214</v>
      </c>
      <c r="N54" s="97" t="s">
        <v>212</v>
      </c>
      <c r="O54" s="97" t="s">
        <v>213</v>
      </c>
      <c r="P54" s="97" t="s">
        <v>7</v>
      </c>
    </row>
    <row r="55" spans="2:16">
      <c r="B55" s="47"/>
      <c r="C55" s="40"/>
      <c r="D55" s="40"/>
      <c r="E55" s="40"/>
      <c r="F55" s="42"/>
      <c r="G55" s="45"/>
      <c r="H55" s="37"/>
      <c r="I55" s="37"/>
      <c r="J55" s="43">
        <f>+J54+H55-I55</f>
        <v>1329270</v>
      </c>
      <c r="L55" s="231">
        <f>H54</f>
        <v>0</v>
      </c>
      <c r="M55" s="36">
        <f>L55+10%</f>
        <v>0.1</v>
      </c>
      <c r="N55" s="97"/>
      <c r="O55" s="231">
        <f>SUM(I55:I60)</f>
        <v>0</v>
      </c>
      <c r="P55" s="231">
        <f>L55-M55-O55</f>
        <v>-0.1</v>
      </c>
    </row>
    <row r="56" spans="2:16">
      <c r="B56" s="47"/>
      <c r="C56" s="40"/>
      <c r="D56" s="40"/>
      <c r="E56" s="40"/>
      <c r="F56" s="42"/>
      <c r="G56" s="45"/>
      <c r="H56" s="37"/>
      <c r="I56" s="37"/>
      <c r="J56" s="43">
        <f t="shared" ref="J56:J60" si="6">+J55+H56-I56</f>
        <v>1329270</v>
      </c>
      <c r="L56" s="186"/>
      <c r="M56" s="232"/>
      <c r="N56" s="186"/>
      <c r="O56" s="186"/>
      <c r="P56" s="186"/>
    </row>
    <row r="57" spans="2:16">
      <c r="B57" s="17"/>
      <c r="C57" s="9"/>
      <c r="D57" s="9"/>
      <c r="E57" s="9"/>
      <c r="F57" s="18"/>
      <c r="G57" s="10"/>
      <c r="H57" s="12"/>
      <c r="I57" s="12"/>
      <c r="J57" s="43">
        <f t="shared" si="6"/>
        <v>1329270</v>
      </c>
      <c r="L57" s="104"/>
      <c r="M57" s="50"/>
      <c r="N57" s="104"/>
      <c r="O57" s="104"/>
      <c r="P57" s="104"/>
    </row>
    <row r="58" spans="2:16">
      <c r="B58" s="47"/>
      <c r="C58" s="40"/>
      <c r="D58" s="40"/>
      <c r="E58" s="40"/>
      <c r="F58" s="42"/>
      <c r="G58" s="45"/>
      <c r="H58" s="37"/>
      <c r="I58" s="37"/>
      <c r="J58" s="43">
        <f t="shared" si="6"/>
        <v>1329270</v>
      </c>
    </row>
    <row r="59" spans="2:16">
      <c r="B59" s="47"/>
      <c r="C59" s="40"/>
      <c r="D59" s="40"/>
      <c r="E59" s="40"/>
      <c r="F59" s="42"/>
      <c r="G59" s="45"/>
      <c r="H59" s="37"/>
      <c r="I59" s="37"/>
      <c r="J59" s="43">
        <f t="shared" si="6"/>
        <v>1329270</v>
      </c>
    </row>
    <row r="60" spans="2:16">
      <c r="B60" s="47"/>
      <c r="C60" s="40"/>
      <c r="D60" s="40"/>
      <c r="E60" s="40"/>
      <c r="F60" s="42"/>
      <c r="G60" s="42"/>
      <c r="H60" s="37"/>
      <c r="I60" s="37"/>
      <c r="J60" s="43">
        <f t="shared" si="6"/>
        <v>1329270</v>
      </c>
    </row>
    <row r="61" spans="2:16">
      <c r="B61" s="320" t="s">
        <v>133</v>
      </c>
      <c r="C61" s="321"/>
      <c r="D61" s="321"/>
      <c r="E61" s="321"/>
      <c r="F61" s="321"/>
      <c r="G61" s="321"/>
      <c r="H61" s="321"/>
      <c r="I61" s="321"/>
      <c r="J61" s="322"/>
    </row>
    <row r="62" spans="2:16">
      <c r="B62" s="47"/>
      <c r="C62" s="40"/>
      <c r="D62" s="40"/>
      <c r="E62" s="40"/>
      <c r="F62" s="42" t="s">
        <v>171</v>
      </c>
      <c r="G62" s="45" t="s">
        <v>171</v>
      </c>
      <c r="H62" s="37">
        <f>+SUBVENCION!W24+SUBVENCION!X24</f>
        <v>0</v>
      </c>
      <c r="I62" s="37"/>
      <c r="J62" s="43">
        <f>+J60+H62-I62</f>
        <v>1329270</v>
      </c>
      <c r="L62" s="97" t="s">
        <v>5</v>
      </c>
      <c r="M62" s="36" t="s">
        <v>214</v>
      </c>
      <c r="N62" s="97" t="s">
        <v>212</v>
      </c>
      <c r="O62" s="97" t="s">
        <v>213</v>
      </c>
      <c r="P62" s="97" t="s">
        <v>7</v>
      </c>
    </row>
    <row r="63" spans="2:16">
      <c r="B63" s="47"/>
      <c r="C63" s="40"/>
      <c r="D63" s="40"/>
      <c r="E63" s="40"/>
      <c r="F63" s="42"/>
      <c r="G63" s="45"/>
      <c r="H63" s="37"/>
      <c r="I63" s="37"/>
      <c r="J63" s="43">
        <f>+J62+H63-I63</f>
        <v>1329270</v>
      </c>
      <c r="L63" s="231">
        <f>H62</f>
        <v>0</v>
      </c>
      <c r="M63" s="36">
        <f>L63*10%</f>
        <v>0</v>
      </c>
      <c r="N63" s="97"/>
      <c r="O63" s="231">
        <f>SUM(I63:I68)</f>
        <v>0</v>
      </c>
      <c r="P63" s="231">
        <f>L63-M63-O63</f>
        <v>0</v>
      </c>
    </row>
    <row r="64" spans="2:16">
      <c r="B64" s="47"/>
      <c r="C64" s="40"/>
      <c r="D64" s="40"/>
      <c r="E64" s="40"/>
      <c r="F64" s="42"/>
      <c r="G64" s="45"/>
      <c r="H64" s="37"/>
      <c r="I64" s="37"/>
      <c r="J64" s="43">
        <f t="shared" ref="J64:J68" si="7">+J63+H64-I64</f>
        <v>1329270</v>
      </c>
      <c r="L64" s="104"/>
      <c r="M64" s="50"/>
      <c r="N64" s="104"/>
      <c r="O64" s="104"/>
      <c r="P64" s="104"/>
    </row>
    <row r="65" spans="1:21">
      <c r="B65" s="47"/>
      <c r="C65" s="40"/>
      <c r="D65" s="40"/>
      <c r="E65" s="40"/>
      <c r="F65" s="42"/>
      <c r="G65" s="45"/>
      <c r="H65" s="37"/>
      <c r="I65" s="37"/>
      <c r="J65" s="43">
        <f t="shared" si="7"/>
        <v>1329270</v>
      </c>
    </row>
    <row r="66" spans="1:21">
      <c r="B66" s="47"/>
      <c r="C66" s="40"/>
      <c r="D66" s="40"/>
      <c r="E66" s="40"/>
      <c r="F66" s="42"/>
      <c r="G66" s="45"/>
      <c r="H66" s="37"/>
      <c r="I66" s="37"/>
      <c r="J66" s="43">
        <f t="shared" si="7"/>
        <v>1329270</v>
      </c>
    </row>
    <row r="67" spans="1:21">
      <c r="B67" s="47"/>
      <c r="C67" s="40"/>
      <c r="D67" s="40"/>
      <c r="E67" s="40"/>
      <c r="F67" s="42"/>
      <c r="G67" s="45"/>
      <c r="H67" s="37"/>
      <c r="I67" s="37"/>
      <c r="J67" s="43">
        <f t="shared" si="7"/>
        <v>1329270</v>
      </c>
    </row>
    <row r="68" spans="1:21">
      <c r="B68" s="47"/>
      <c r="C68" s="40"/>
      <c r="D68" s="40"/>
      <c r="E68" s="40"/>
      <c r="F68" s="42"/>
      <c r="G68" s="45"/>
      <c r="H68" s="37"/>
      <c r="I68" s="37"/>
      <c r="J68" s="43">
        <f t="shared" si="7"/>
        <v>1329270</v>
      </c>
    </row>
    <row r="69" spans="1:21">
      <c r="B69" s="320" t="s">
        <v>134</v>
      </c>
      <c r="C69" s="321"/>
      <c r="D69" s="321"/>
      <c r="E69" s="321"/>
      <c r="F69" s="321"/>
      <c r="G69" s="321"/>
      <c r="H69" s="321"/>
      <c r="I69" s="321"/>
      <c r="J69" s="322"/>
    </row>
    <row r="70" spans="1:21">
      <c r="B70" s="47"/>
      <c r="C70" s="40"/>
      <c r="D70" s="40"/>
      <c r="E70" s="40"/>
      <c r="F70" s="42" t="s">
        <v>171</v>
      </c>
      <c r="G70" s="45" t="s">
        <v>171</v>
      </c>
      <c r="H70" s="37">
        <f>+SUBVENCION!Y24+SUBVENCION!Z24</f>
        <v>0</v>
      </c>
      <c r="I70" s="37"/>
      <c r="J70" s="43">
        <f>+J68+H70-I70</f>
        <v>1329270</v>
      </c>
      <c r="L70" s="97" t="s">
        <v>5</v>
      </c>
      <c r="M70" s="36" t="s">
        <v>214</v>
      </c>
      <c r="N70" s="97" t="s">
        <v>212</v>
      </c>
      <c r="O70" s="97" t="s">
        <v>213</v>
      </c>
      <c r="P70" s="97" t="s">
        <v>7</v>
      </c>
    </row>
    <row r="71" spans="1:21">
      <c r="B71" s="47"/>
      <c r="C71" s="40"/>
      <c r="D71" s="40"/>
      <c r="E71" s="40"/>
      <c r="F71" s="42"/>
      <c r="G71" s="45"/>
      <c r="H71" s="37"/>
      <c r="I71" s="37"/>
      <c r="J71" s="45">
        <f>+J70+H71-I71</f>
        <v>1329270</v>
      </c>
      <c r="L71" s="231">
        <f>H70</f>
        <v>0</v>
      </c>
      <c r="M71" s="36">
        <f>L71*10%</f>
        <v>0</v>
      </c>
      <c r="N71" s="97"/>
      <c r="O71" s="231">
        <f>SUM(I71:I74)</f>
        <v>0</v>
      </c>
      <c r="P71" s="97"/>
    </row>
    <row r="72" spans="1:21">
      <c r="B72" s="47"/>
      <c r="C72" s="40"/>
      <c r="D72" s="40"/>
      <c r="E72" s="40"/>
      <c r="F72" s="42"/>
      <c r="G72" s="42"/>
      <c r="H72" s="37"/>
      <c r="I72" s="37"/>
      <c r="J72" s="43">
        <f t="shared" ref="J72:J73" si="8">+J71+H72-I72</f>
        <v>1329270</v>
      </c>
      <c r="L72" s="104"/>
      <c r="M72" s="50"/>
      <c r="N72" s="104"/>
      <c r="O72" s="104"/>
      <c r="P72" s="104"/>
    </row>
    <row r="73" spans="1:21">
      <c r="A73" s="35"/>
      <c r="B73" s="47"/>
      <c r="C73" s="40"/>
      <c r="D73" s="40"/>
      <c r="E73" s="40"/>
      <c r="F73" s="42"/>
      <c r="G73" s="45"/>
      <c r="H73" s="37"/>
      <c r="I73" s="37"/>
      <c r="J73" s="43">
        <f t="shared" si="8"/>
        <v>1329270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spans="1:21">
      <c r="A74" s="35"/>
      <c r="B74" s="47"/>
      <c r="C74" s="40"/>
      <c r="D74" s="40"/>
      <c r="E74" s="40"/>
      <c r="F74" s="42"/>
      <c r="G74" s="45"/>
      <c r="H74" s="37"/>
      <c r="I74" s="37"/>
      <c r="J74" s="43">
        <f>+J73+H74-I74</f>
        <v>1329270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spans="1:21">
      <c r="A75" s="35"/>
      <c r="B75" s="47"/>
      <c r="C75" s="40"/>
      <c r="D75" s="40"/>
      <c r="E75" s="40"/>
      <c r="F75" s="42" t="s">
        <v>135</v>
      </c>
      <c r="G75" s="45" t="s">
        <v>135</v>
      </c>
      <c r="H75" s="37">
        <f>(H11+H14+H17+H22+H27+H33+H38+H41+H47+H54+H62+H70)*-10%</f>
        <v>-396155.30000000005</v>
      </c>
      <c r="I75" s="37"/>
      <c r="J75" s="43">
        <f>J74+H75-I75</f>
        <v>933114.7</v>
      </c>
      <c r="K75" s="35"/>
      <c r="L75" s="155">
        <f>H75+H47+H41+H38+H33+H27+H22+H17+H14+H11</f>
        <v>3565397.7</v>
      </c>
      <c r="M75" s="35"/>
      <c r="N75" s="35"/>
      <c r="O75" s="35"/>
      <c r="P75" s="35"/>
      <c r="Q75" s="35"/>
      <c r="R75" s="35"/>
      <c r="S75" s="35"/>
      <c r="T75" s="35"/>
      <c r="U75" s="35"/>
    </row>
    <row r="76" spans="1:21">
      <c r="A76" s="48"/>
      <c r="B76" s="46" t="s">
        <v>8</v>
      </c>
      <c r="C76" s="97" t="s">
        <v>8</v>
      </c>
      <c r="D76" s="97"/>
      <c r="E76" s="97"/>
      <c r="F76" s="55"/>
      <c r="G76" s="97" t="s">
        <v>9</v>
      </c>
      <c r="H76" s="38">
        <f>SUM(H11:H75)</f>
        <v>3565397.7</v>
      </c>
      <c r="I76" s="38">
        <f>SUM(I11:I75)</f>
        <v>2632283</v>
      </c>
      <c r="J76" s="38">
        <f>H76-I76</f>
        <v>933114.70000000019</v>
      </c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</row>
    <row r="80" spans="1:21">
      <c r="G80" s="44" t="s">
        <v>210</v>
      </c>
      <c r="H80" s="97" t="s">
        <v>5</v>
      </c>
      <c r="I80" s="97" t="s">
        <v>6</v>
      </c>
      <c r="J80" s="97" t="s">
        <v>198</v>
      </c>
    </row>
    <row r="81" spans="8:14">
      <c r="H81" s="36">
        <f>+H76</f>
        <v>3565397.7</v>
      </c>
      <c r="I81" s="36">
        <f>+I76</f>
        <v>2632283</v>
      </c>
      <c r="J81" s="152">
        <f>(I81*100)/H81</f>
        <v>73.828594212645612</v>
      </c>
    </row>
    <row r="89" spans="8:14">
      <c r="N89" s="44" t="s">
        <v>223</v>
      </c>
    </row>
  </sheetData>
  <mergeCells count="18">
    <mergeCell ref="B40:J40"/>
    <mergeCell ref="B37:J37"/>
    <mergeCell ref="B69:J69"/>
    <mergeCell ref="B7:J7"/>
    <mergeCell ref="B10:J10"/>
    <mergeCell ref="B32:J32"/>
    <mergeCell ref="B26:J26"/>
    <mergeCell ref="B21:J21"/>
    <mergeCell ref="B16:J16"/>
    <mergeCell ref="B13:J13"/>
    <mergeCell ref="B61:J61"/>
    <mergeCell ref="B53:J53"/>
    <mergeCell ref="B46:J46"/>
    <mergeCell ref="B2:J2"/>
    <mergeCell ref="B3:J3"/>
    <mergeCell ref="B4:J4"/>
    <mergeCell ref="B5:J5"/>
    <mergeCell ref="B6:J6"/>
  </mergeCells>
  <conditionalFormatting sqref="H17:H20 H41:J45 H47:J52">
    <cfRule type="cellIs" dxfId="29" priority="3" operator="lessThan">
      <formula>0</formula>
    </cfRule>
  </conditionalFormatting>
  <conditionalFormatting sqref="H22">
    <cfRule type="cellIs" dxfId="28" priority="2" operator="lessThan">
      <formula>0</formula>
    </cfRule>
  </conditionalFormatting>
  <conditionalFormatting sqref="H1:J9 H11:J12 H14:J15 H23:J25 H27:J31 H38:J39 H70:J79 H84:J1048576">
    <cfRule type="cellIs" dxfId="27" priority="14" operator="lessThan">
      <formula>0</formula>
    </cfRule>
  </conditionalFormatting>
  <conditionalFormatting sqref="H33:J36">
    <cfRule type="cellIs" dxfId="26" priority="1" operator="lessThan">
      <formula>0</formula>
    </cfRule>
  </conditionalFormatting>
  <conditionalFormatting sqref="H54:J60">
    <cfRule type="cellIs" dxfId="25" priority="9" operator="lessThan">
      <formula>0</formula>
    </cfRule>
  </conditionalFormatting>
  <conditionalFormatting sqref="H62:J68">
    <cfRule type="cellIs" dxfId="24" priority="4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1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  <pageSetUpPr fitToPage="1"/>
  </sheetPr>
  <dimension ref="A1:P300"/>
  <sheetViews>
    <sheetView showGridLines="0" topLeftCell="B260" zoomScaleNormal="100" workbookViewId="0">
      <selection activeCell="J209" sqref="J209:J211"/>
    </sheetView>
  </sheetViews>
  <sheetFormatPr baseColWidth="10" defaultRowHeight="11.25"/>
  <cols>
    <col min="1" max="2" width="11.42578125" style="44"/>
    <col min="3" max="3" width="16.28515625" style="44" customWidth="1"/>
    <col min="4" max="4" width="16.85546875" style="44" bestFit="1" customWidth="1"/>
    <col min="5" max="5" width="11.42578125" style="44"/>
    <col min="6" max="6" width="28.5703125" style="44" customWidth="1"/>
    <col min="7" max="7" width="36.42578125" style="44" bestFit="1" customWidth="1"/>
    <col min="8" max="8" width="13.140625" style="39" bestFit="1" customWidth="1"/>
    <col min="9" max="10" width="11.42578125" style="39"/>
    <col min="11" max="12" width="11.42578125" style="44"/>
    <col min="13" max="13" width="11.42578125" style="50"/>
    <col min="14" max="16384" width="11.42578125" style="44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6">
      <c r="A2" s="35"/>
      <c r="B2" s="333" t="s">
        <v>0</v>
      </c>
      <c r="C2" s="333"/>
      <c r="D2" s="333"/>
      <c r="E2" s="333"/>
      <c r="F2" s="333"/>
      <c r="G2" s="333"/>
      <c r="H2" s="333"/>
      <c r="I2" s="333"/>
      <c r="J2" s="333"/>
    </row>
    <row r="3" spans="1:16">
      <c r="A3" s="35"/>
      <c r="B3" s="333" t="s">
        <v>1</v>
      </c>
      <c r="C3" s="333"/>
      <c r="D3" s="333"/>
      <c r="E3" s="333"/>
      <c r="F3" s="333"/>
      <c r="G3" s="333"/>
      <c r="H3" s="333"/>
      <c r="I3" s="333"/>
      <c r="J3" s="333"/>
    </row>
    <row r="4" spans="1:16">
      <c r="A4" s="35"/>
      <c r="B4" s="327" t="s">
        <v>14</v>
      </c>
      <c r="C4" s="328"/>
      <c r="D4" s="328"/>
      <c r="E4" s="328"/>
      <c r="F4" s="328"/>
      <c r="G4" s="328"/>
      <c r="H4" s="328"/>
      <c r="I4" s="328"/>
      <c r="J4" s="329"/>
    </row>
    <row r="5" spans="1:16">
      <c r="A5" s="35"/>
      <c r="B5" s="327" t="s">
        <v>15</v>
      </c>
      <c r="C5" s="328"/>
      <c r="D5" s="328"/>
      <c r="E5" s="328"/>
      <c r="F5" s="328"/>
      <c r="G5" s="328"/>
      <c r="H5" s="328"/>
      <c r="I5" s="328"/>
      <c r="J5" s="329"/>
    </row>
    <row r="6" spans="1:16">
      <c r="A6" s="35"/>
      <c r="B6" s="335" t="s">
        <v>98</v>
      </c>
      <c r="C6" s="336"/>
      <c r="D6" s="336"/>
      <c r="E6" s="336"/>
      <c r="F6" s="336"/>
      <c r="G6" s="336"/>
      <c r="H6" s="336"/>
      <c r="I6" s="336"/>
      <c r="J6" s="337"/>
    </row>
    <row r="7" spans="1:16">
      <c r="A7" s="35"/>
      <c r="B7" s="327" t="s">
        <v>74</v>
      </c>
      <c r="C7" s="328"/>
      <c r="D7" s="328"/>
      <c r="E7" s="328"/>
      <c r="F7" s="328"/>
      <c r="G7" s="328"/>
      <c r="H7" s="328"/>
      <c r="I7" s="328"/>
      <c r="J7" s="329"/>
    </row>
    <row r="8" spans="1:16">
      <c r="A8" s="35"/>
      <c r="B8" s="46" t="s">
        <v>3</v>
      </c>
      <c r="C8" s="97" t="s">
        <v>11</v>
      </c>
      <c r="D8" s="97" t="s">
        <v>10</v>
      </c>
      <c r="E8" s="97" t="s">
        <v>16</v>
      </c>
      <c r="F8" s="97" t="s">
        <v>70</v>
      </c>
      <c r="G8" s="97" t="s">
        <v>4</v>
      </c>
      <c r="H8" s="36" t="s">
        <v>5</v>
      </c>
      <c r="I8" s="36" t="s">
        <v>6</v>
      </c>
      <c r="J8" s="36" t="s">
        <v>7</v>
      </c>
    </row>
    <row r="9" spans="1:16">
      <c r="A9" s="35"/>
      <c r="B9" s="53"/>
      <c r="C9" s="54"/>
      <c r="D9" s="54"/>
      <c r="E9" s="54"/>
      <c r="F9" s="42"/>
      <c r="G9" s="45" t="s">
        <v>236</v>
      </c>
      <c r="H9" s="37">
        <v>6773819</v>
      </c>
      <c r="I9" s="37"/>
      <c r="J9" s="43">
        <f>+H9-I9</f>
        <v>6773819</v>
      </c>
    </row>
    <row r="10" spans="1:16" s="49" customFormat="1" ht="15" customHeight="1">
      <c r="A10" s="48"/>
      <c r="B10" s="330" t="s">
        <v>66</v>
      </c>
      <c r="C10" s="331"/>
      <c r="D10" s="331"/>
      <c r="E10" s="331"/>
      <c r="F10" s="331"/>
      <c r="G10" s="331"/>
      <c r="H10" s="331"/>
      <c r="I10" s="331"/>
      <c r="J10" s="332"/>
      <c r="M10" s="190"/>
    </row>
    <row r="11" spans="1:16">
      <c r="A11" s="35"/>
      <c r="B11" s="53"/>
      <c r="C11" s="54"/>
      <c r="D11" s="54"/>
      <c r="E11" s="54"/>
      <c r="F11" s="42" t="s">
        <v>171</v>
      </c>
      <c r="G11" s="42" t="s">
        <v>171</v>
      </c>
      <c r="H11" s="37">
        <f>SUBVENCION!C25+SUBVENCION!D25</f>
        <v>61101841</v>
      </c>
      <c r="I11" s="37"/>
      <c r="J11" s="300">
        <f>+J9+H11-I11</f>
        <v>67875660</v>
      </c>
      <c r="L11" s="97" t="s">
        <v>5</v>
      </c>
      <c r="M11" s="36" t="s">
        <v>214</v>
      </c>
      <c r="N11" s="97" t="s">
        <v>212</v>
      </c>
      <c r="O11" s="97" t="s">
        <v>213</v>
      </c>
      <c r="P11" s="97" t="s">
        <v>7</v>
      </c>
    </row>
    <row r="12" spans="1:16">
      <c r="A12" s="35"/>
      <c r="B12" s="53"/>
      <c r="C12" s="54"/>
      <c r="D12" s="54"/>
      <c r="E12" s="54"/>
      <c r="F12" s="42" t="s">
        <v>199</v>
      </c>
      <c r="G12" s="42" t="s">
        <v>199</v>
      </c>
      <c r="H12" s="37"/>
      <c r="I12" s="37">
        <v>38329306</v>
      </c>
      <c r="J12" s="300">
        <f>+J11+H12-I12</f>
        <v>29546354</v>
      </c>
      <c r="L12" s="115">
        <f>H11</f>
        <v>61101841</v>
      </c>
      <c r="M12" s="101">
        <f>L12*10%</f>
        <v>6110184.1000000006</v>
      </c>
      <c r="N12" s="115">
        <f>I12</f>
        <v>38329306</v>
      </c>
      <c r="O12" s="115">
        <f>I13+I14+I15</f>
        <v>43289107</v>
      </c>
      <c r="P12" s="115">
        <f>L12-M12-N12-O12</f>
        <v>-26626756.100000001</v>
      </c>
    </row>
    <row r="13" spans="1:16">
      <c r="A13" s="35"/>
      <c r="B13" s="53">
        <v>45953</v>
      </c>
      <c r="C13" s="54">
        <v>416</v>
      </c>
      <c r="D13" s="54" t="s">
        <v>246</v>
      </c>
      <c r="E13" s="40">
        <v>17</v>
      </c>
      <c r="F13" s="42" t="s">
        <v>247</v>
      </c>
      <c r="G13" s="45" t="s">
        <v>248</v>
      </c>
      <c r="H13" s="37"/>
      <c r="I13" s="37">
        <v>6225318</v>
      </c>
      <c r="J13" s="300">
        <f t="shared" ref="J13:J15" si="0">+J12+H13-I13</f>
        <v>23321036</v>
      </c>
    </row>
    <row r="14" spans="1:16">
      <c r="A14" s="35"/>
      <c r="B14" s="53">
        <v>45940</v>
      </c>
      <c r="C14" s="54">
        <v>394</v>
      </c>
      <c r="D14" s="54" t="s">
        <v>285</v>
      </c>
      <c r="E14" s="40">
        <v>268</v>
      </c>
      <c r="F14" s="42" t="s">
        <v>287</v>
      </c>
      <c r="G14" s="42" t="s">
        <v>286</v>
      </c>
      <c r="H14" s="37"/>
      <c r="I14" s="37">
        <v>392700</v>
      </c>
      <c r="J14" s="300">
        <f t="shared" si="0"/>
        <v>22928336</v>
      </c>
    </row>
    <row r="15" spans="1:16">
      <c r="A15" s="35"/>
      <c r="B15" s="270">
        <v>45958</v>
      </c>
      <c r="C15" s="54">
        <v>427</v>
      </c>
      <c r="D15" s="54" t="s">
        <v>288</v>
      </c>
      <c r="E15" s="40"/>
      <c r="F15" s="42" t="s">
        <v>247</v>
      </c>
      <c r="G15" s="45" t="s">
        <v>248</v>
      </c>
      <c r="H15" s="37"/>
      <c r="I15" s="37">
        <v>36671089</v>
      </c>
      <c r="J15" s="300">
        <f t="shared" si="0"/>
        <v>-13742753</v>
      </c>
    </row>
    <row r="16" spans="1:16" s="49" customFormat="1">
      <c r="A16" s="48"/>
      <c r="B16" s="330" t="s">
        <v>67</v>
      </c>
      <c r="C16" s="331"/>
      <c r="D16" s="331"/>
      <c r="E16" s="331"/>
      <c r="F16" s="331"/>
      <c r="G16" s="331"/>
      <c r="H16" s="158"/>
      <c r="I16" s="158"/>
      <c r="J16" s="159"/>
      <c r="M16" s="190"/>
    </row>
    <row r="17" spans="1:16">
      <c r="A17" s="35"/>
      <c r="B17" s="53"/>
      <c r="C17" s="54"/>
      <c r="D17" s="54"/>
      <c r="E17" s="54"/>
      <c r="F17" s="42" t="s">
        <v>171</v>
      </c>
      <c r="G17" s="42" t="s">
        <v>171</v>
      </c>
      <c r="H17" s="37">
        <f>SUBVENCION!E25+SUBVENCION!F25</f>
        <v>64762536</v>
      </c>
      <c r="I17" s="37"/>
      <c r="J17" s="300">
        <f>+J15+H17-I17</f>
        <v>51019783</v>
      </c>
      <c r="L17" s="97" t="s">
        <v>5</v>
      </c>
      <c r="M17" s="36" t="s">
        <v>214</v>
      </c>
      <c r="N17" s="97" t="s">
        <v>212</v>
      </c>
      <c r="O17" s="97" t="s">
        <v>213</v>
      </c>
      <c r="P17" s="97" t="s">
        <v>7</v>
      </c>
    </row>
    <row r="18" spans="1:16">
      <c r="A18" s="35"/>
      <c r="B18" s="53"/>
      <c r="C18" s="54"/>
      <c r="D18" s="54"/>
      <c r="E18" s="54"/>
      <c r="F18" s="42" t="s">
        <v>199</v>
      </c>
      <c r="G18" s="42" t="s">
        <v>199</v>
      </c>
      <c r="H18" s="37"/>
      <c r="I18" s="37">
        <v>40717600</v>
      </c>
      <c r="J18" s="300">
        <f>+J17+H18-I18</f>
        <v>10302183</v>
      </c>
      <c r="L18" s="115">
        <f>H17</f>
        <v>64762536</v>
      </c>
      <c r="M18" s="101">
        <f>L18*10%</f>
        <v>6476253.6000000006</v>
      </c>
      <c r="N18" s="115">
        <f>I18</f>
        <v>40717600</v>
      </c>
      <c r="O18" s="127">
        <v>0</v>
      </c>
      <c r="P18" s="115">
        <f>L18-M18-N18-O18</f>
        <v>17568682.399999999</v>
      </c>
    </row>
    <row r="19" spans="1:16" s="49" customFormat="1">
      <c r="A19" s="48"/>
      <c r="B19" s="330" t="s">
        <v>68</v>
      </c>
      <c r="C19" s="331"/>
      <c r="D19" s="331"/>
      <c r="E19" s="331"/>
      <c r="F19" s="331"/>
      <c r="G19" s="331"/>
      <c r="H19" s="331"/>
      <c r="I19" s="331"/>
      <c r="J19" s="332"/>
      <c r="M19" s="190"/>
    </row>
    <row r="20" spans="1:16">
      <c r="A20" s="35"/>
      <c r="B20" s="53"/>
      <c r="C20" s="54"/>
      <c r="D20" s="54"/>
      <c r="E20" s="54"/>
      <c r="F20" s="42" t="s">
        <v>171</v>
      </c>
      <c r="G20" s="42" t="s">
        <v>171</v>
      </c>
      <c r="H20" s="37">
        <f>SUBVENCION!G25+SUBVENCION!H25</f>
        <v>62323858</v>
      </c>
      <c r="I20" s="37"/>
      <c r="J20" s="300">
        <f>+J18+H20-I20</f>
        <v>72626041</v>
      </c>
    </row>
    <row r="21" spans="1:16">
      <c r="A21" s="35"/>
      <c r="B21" s="53"/>
      <c r="C21" s="54"/>
      <c r="D21" s="54"/>
      <c r="E21" s="54"/>
      <c r="F21" s="42" t="s">
        <v>199</v>
      </c>
      <c r="G21" s="42" t="s">
        <v>199</v>
      </c>
      <c r="H21" s="37"/>
      <c r="I21" s="37">
        <v>31421352</v>
      </c>
      <c r="J21" s="300">
        <f>+J20+H21-I21</f>
        <v>41204689</v>
      </c>
    </row>
    <row r="22" spans="1:16">
      <c r="A22" s="35"/>
      <c r="B22" s="53">
        <v>46083</v>
      </c>
      <c r="C22" s="54">
        <v>2</v>
      </c>
      <c r="D22" s="54" t="s">
        <v>391</v>
      </c>
      <c r="E22" s="40">
        <v>604</v>
      </c>
      <c r="F22" s="42" t="s">
        <v>319</v>
      </c>
      <c r="G22" s="42" t="s">
        <v>319</v>
      </c>
      <c r="H22" s="37"/>
      <c r="I22" s="37">
        <v>879391</v>
      </c>
      <c r="J22" s="300">
        <f t="shared" ref="J22:J53" si="1">+J21+H22-I22</f>
        <v>40325298</v>
      </c>
    </row>
    <row r="23" spans="1:16">
      <c r="A23" s="35"/>
      <c r="B23" s="53">
        <v>46083</v>
      </c>
      <c r="C23" s="54">
        <v>2</v>
      </c>
      <c r="D23" s="54" t="s">
        <v>391</v>
      </c>
      <c r="E23" s="40">
        <v>406</v>
      </c>
      <c r="F23" s="42" t="s">
        <v>319</v>
      </c>
      <c r="G23" s="42" t="s">
        <v>584</v>
      </c>
      <c r="H23" s="37"/>
      <c r="I23" s="37">
        <v>879391</v>
      </c>
      <c r="J23" s="300">
        <f t="shared" si="1"/>
        <v>39445907</v>
      </c>
      <c r="L23" s="97" t="s">
        <v>5</v>
      </c>
      <c r="M23" s="36" t="s">
        <v>214</v>
      </c>
      <c r="N23" s="97" t="s">
        <v>212</v>
      </c>
      <c r="O23" s="97" t="s">
        <v>213</v>
      </c>
      <c r="P23" s="97" t="s">
        <v>7</v>
      </c>
    </row>
    <row r="24" spans="1:16">
      <c r="A24" s="35"/>
      <c r="B24" s="53">
        <v>46084</v>
      </c>
      <c r="C24" s="54">
        <v>3</v>
      </c>
      <c r="D24" s="54">
        <v>47</v>
      </c>
      <c r="E24" s="40">
        <v>388</v>
      </c>
      <c r="F24" s="42" t="s">
        <v>247</v>
      </c>
      <c r="G24" s="42" t="s">
        <v>282</v>
      </c>
      <c r="H24" s="37"/>
      <c r="I24" s="37">
        <v>203490</v>
      </c>
      <c r="J24" s="300">
        <f t="shared" si="1"/>
        <v>39242417</v>
      </c>
      <c r="L24" s="115">
        <f>H20</f>
        <v>62323858</v>
      </c>
      <c r="M24" s="101">
        <f>H20*10%</f>
        <v>6232385.8000000007</v>
      </c>
      <c r="N24" s="115">
        <f>I21</f>
        <v>31421352</v>
      </c>
      <c r="O24" s="115">
        <f>SUM(I23:I53)</f>
        <v>57139217</v>
      </c>
      <c r="P24" s="115">
        <f>L24-M24-N24-O24</f>
        <v>-32469096.799999997</v>
      </c>
    </row>
    <row r="25" spans="1:16">
      <c r="A25" s="35"/>
      <c r="B25" s="53">
        <v>46084</v>
      </c>
      <c r="C25" s="54">
        <v>4</v>
      </c>
      <c r="D25" s="54" t="s">
        <v>314</v>
      </c>
      <c r="E25" s="40">
        <v>614</v>
      </c>
      <c r="F25" s="42" t="s">
        <v>242</v>
      </c>
      <c r="G25" s="42" t="s">
        <v>242</v>
      </c>
      <c r="H25" s="37"/>
      <c r="I25" s="37">
        <v>2983330</v>
      </c>
      <c r="J25" s="300">
        <f t="shared" si="1"/>
        <v>36259087</v>
      </c>
    </row>
    <row r="26" spans="1:16">
      <c r="A26" s="35"/>
      <c r="B26" s="53">
        <v>46084</v>
      </c>
      <c r="C26" s="54">
        <v>5</v>
      </c>
      <c r="D26" s="54" t="s">
        <v>347</v>
      </c>
      <c r="E26" s="40">
        <v>416</v>
      </c>
      <c r="F26" s="42" t="s">
        <v>287</v>
      </c>
      <c r="G26" s="42" t="s">
        <v>321</v>
      </c>
      <c r="H26" s="37"/>
      <c r="I26" s="37">
        <v>4702880</v>
      </c>
      <c r="J26" s="300">
        <f t="shared" si="1"/>
        <v>31556207</v>
      </c>
    </row>
    <row r="27" spans="1:16">
      <c r="A27" s="35"/>
      <c r="B27" s="53">
        <v>45721</v>
      </c>
      <c r="C27" s="54">
        <v>7</v>
      </c>
      <c r="D27" s="54">
        <v>48</v>
      </c>
      <c r="E27" s="40">
        <v>267</v>
      </c>
      <c r="F27" s="42" t="s">
        <v>295</v>
      </c>
      <c r="G27" s="45" t="s">
        <v>296</v>
      </c>
      <c r="H27" s="37"/>
      <c r="I27" s="37">
        <v>199600</v>
      </c>
      <c r="J27" s="300">
        <f t="shared" si="1"/>
        <v>31356607</v>
      </c>
    </row>
    <row r="28" spans="1:16">
      <c r="A28" s="35"/>
      <c r="B28" s="53">
        <v>46086</v>
      </c>
      <c r="C28" s="54">
        <v>8</v>
      </c>
      <c r="D28" s="54">
        <v>123</v>
      </c>
      <c r="E28" s="40">
        <v>402</v>
      </c>
      <c r="F28" s="42" t="s">
        <v>267</v>
      </c>
      <c r="G28" s="45" t="s">
        <v>240</v>
      </c>
      <c r="H28" s="37"/>
      <c r="I28" s="37">
        <v>203660</v>
      </c>
      <c r="J28" s="300">
        <f t="shared" si="1"/>
        <v>31152947</v>
      </c>
      <c r="P28" s="104"/>
    </row>
    <row r="29" spans="1:16">
      <c r="A29" s="35"/>
      <c r="B29" s="53">
        <v>46086</v>
      </c>
      <c r="C29" s="54">
        <v>9</v>
      </c>
      <c r="D29" s="54">
        <v>49</v>
      </c>
      <c r="E29" s="40">
        <v>386</v>
      </c>
      <c r="F29" s="42" t="s">
        <v>283</v>
      </c>
      <c r="G29" s="42" t="s">
        <v>501</v>
      </c>
      <c r="H29" s="37"/>
      <c r="I29" s="37">
        <v>206999</v>
      </c>
      <c r="J29" s="300">
        <f t="shared" si="1"/>
        <v>30945948</v>
      </c>
    </row>
    <row r="30" spans="1:16">
      <c r="A30" s="35"/>
      <c r="B30" s="53">
        <v>46087</v>
      </c>
      <c r="C30" s="54">
        <v>11</v>
      </c>
      <c r="D30" s="54">
        <v>50</v>
      </c>
      <c r="E30" s="40">
        <v>423</v>
      </c>
      <c r="F30" s="42" t="s">
        <v>247</v>
      </c>
      <c r="G30" s="45" t="s">
        <v>284</v>
      </c>
      <c r="H30" s="37"/>
      <c r="I30" s="37">
        <v>204680</v>
      </c>
      <c r="J30" s="300">
        <f t="shared" si="1"/>
        <v>30741268</v>
      </c>
    </row>
    <row r="31" spans="1:16">
      <c r="A31" s="35"/>
      <c r="B31" s="53">
        <v>45722</v>
      </c>
      <c r="C31" s="54">
        <v>15</v>
      </c>
      <c r="D31" s="54" t="s">
        <v>361</v>
      </c>
      <c r="E31" s="40">
        <v>620</v>
      </c>
      <c r="F31" s="42" t="s">
        <v>289</v>
      </c>
      <c r="G31" s="42" t="s">
        <v>289</v>
      </c>
      <c r="H31" s="37"/>
      <c r="I31" s="37">
        <v>682941</v>
      </c>
      <c r="J31" s="300">
        <f t="shared" si="1"/>
        <v>30058327</v>
      </c>
    </row>
    <row r="32" spans="1:16">
      <c r="A32" s="35"/>
      <c r="B32" s="53">
        <v>46087</v>
      </c>
      <c r="C32" s="54">
        <v>16</v>
      </c>
      <c r="D32" s="54">
        <v>65</v>
      </c>
      <c r="E32" s="40">
        <v>395</v>
      </c>
      <c r="F32" s="42" t="s">
        <v>267</v>
      </c>
      <c r="G32" s="42" t="s">
        <v>267</v>
      </c>
      <c r="H32" s="37"/>
      <c r="I32" s="37">
        <v>208250</v>
      </c>
      <c r="J32" s="300">
        <f t="shared" si="1"/>
        <v>29850077</v>
      </c>
    </row>
    <row r="33" spans="1:12">
      <c r="A33" s="35"/>
      <c r="B33" s="53">
        <v>46091</v>
      </c>
      <c r="C33" s="54">
        <v>20</v>
      </c>
      <c r="D33" s="54">
        <v>78</v>
      </c>
      <c r="E33" s="40">
        <v>262</v>
      </c>
      <c r="F33" s="42" t="s">
        <v>267</v>
      </c>
      <c r="G33" s="45" t="s">
        <v>300</v>
      </c>
      <c r="H33" s="37"/>
      <c r="I33" s="37">
        <v>209466</v>
      </c>
      <c r="J33" s="300">
        <f t="shared" si="1"/>
        <v>29640611</v>
      </c>
    </row>
    <row r="34" spans="1:12">
      <c r="A34" s="35"/>
      <c r="B34" s="53">
        <v>46092</v>
      </c>
      <c r="C34" s="54">
        <v>21</v>
      </c>
      <c r="D34" s="54">
        <v>79</v>
      </c>
      <c r="E34" s="40">
        <v>400</v>
      </c>
      <c r="F34" s="42" t="s">
        <v>267</v>
      </c>
      <c r="G34" s="45" t="s">
        <v>301</v>
      </c>
      <c r="H34" s="37"/>
      <c r="I34" s="37">
        <v>208788</v>
      </c>
      <c r="J34" s="300">
        <f t="shared" si="1"/>
        <v>29431823</v>
      </c>
    </row>
    <row r="35" spans="1:12">
      <c r="A35" s="35"/>
      <c r="B35" s="53">
        <v>46092</v>
      </c>
      <c r="C35" s="54">
        <v>22</v>
      </c>
      <c r="D35" s="54">
        <v>91</v>
      </c>
      <c r="E35" s="40">
        <v>381</v>
      </c>
      <c r="F35" s="42" t="s">
        <v>267</v>
      </c>
      <c r="G35" s="45" t="s">
        <v>304</v>
      </c>
      <c r="H35" s="37"/>
      <c r="I35" s="37">
        <v>208795</v>
      </c>
      <c r="J35" s="300">
        <f t="shared" si="1"/>
        <v>29223028</v>
      </c>
    </row>
    <row r="36" spans="1:12">
      <c r="A36" s="35"/>
      <c r="B36" s="53">
        <v>46092</v>
      </c>
      <c r="C36" s="54">
        <v>23</v>
      </c>
      <c r="D36" s="54">
        <v>92</v>
      </c>
      <c r="E36" s="40">
        <v>401</v>
      </c>
      <c r="F36" s="42" t="s">
        <v>305</v>
      </c>
      <c r="G36" s="42" t="s">
        <v>286</v>
      </c>
      <c r="H36" s="37"/>
      <c r="I36" s="37">
        <v>208001</v>
      </c>
      <c r="J36" s="300">
        <f t="shared" si="1"/>
        <v>29015027</v>
      </c>
    </row>
    <row r="37" spans="1:12">
      <c r="A37" s="35"/>
      <c r="B37" s="53">
        <v>46092</v>
      </c>
      <c r="C37" s="54">
        <v>24</v>
      </c>
      <c r="D37" s="54" t="s">
        <v>364</v>
      </c>
      <c r="E37" s="40">
        <v>413</v>
      </c>
      <c r="F37" s="42" t="s">
        <v>290</v>
      </c>
      <c r="G37" s="42" t="s">
        <v>290</v>
      </c>
      <c r="H37" s="37"/>
      <c r="I37" s="37">
        <v>2011100</v>
      </c>
      <c r="J37" s="300">
        <f t="shared" si="1"/>
        <v>27003927</v>
      </c>
    </row>
    <row r="38" spans="1:12">
      <c r="A38" s="35"/>
      <c r="B38" s="234">
        <v>46092</v>
      </c>
      <c r="C38" s="127">
        <v>25</v>
      </c>
      <c r="D38" s="54" t="s">
        <v>369</v>
      </c>
      <c r="E38" s="224">
        <v>615</v>
      </c>
      <c r="F38" s="127" t="s">
        <v>222</v>
      </c>
      <c r="G38" s="127" t="s">
        <v>219</v>
      </c>
      <c r="H38" s="205"/>
      <c r="I38" s="217">
        <v>2600000</v>
      </c>
      <c r="J38" s="300">
        <f t="shared" si="1"/>
        <v>24403927</v>
      </c>
    </row>
    <row r="39" spans="1:12">
      <c r="A39" s="35"/>
      <c r="B39" s="53">
        <v>46092</v>
      </c>
      <c r="C39" s="54">
        <v>26</v>
      </c>
      <c r="D39" s="54" t="s">
        <v>346</v>
      </c>
      <c r="E39" s="40">
        <v>412</v>
      </c>
      <c r="F39" s="42" t="s">
        <v>291</v>
      </c>
      <c r="G39" s="42" t="s">
        <v>291</v>
      </c>
      <c r="H39" s="37"/>
      <c r="I39" s="37">
        <v>956210</v>
      </c>
      <c r="J39" s="300">
        <f t="shared" si="1"/>
        <v>23447717</v>
      </c>
    </row>
    <row r="40" spans="1:12">
      <c r="A40" s="35"/>
      <c r="B40" s="53">
        <v>46094</v>
      </c>
      <c r="C40" s="54">
        <v>27</v>
      </c>
      <c r="D40" s="54">
        <v>113</v>
      </c>
      <c r="E40" s="40">
        <v>382</v>
      </c>
      <c r="F40" s="42" t="s">
        <v>267</v>
      </c>
      <c r="G40" s="45" t="s">
        <v>240</v>
      </c>
      <c r="H40" s="37"/>
      <c r="I40" s="37">
        <v>209000</v>
      </c>
      <c r="J40" s="300">
        <f t="shared" si="1"/>
        <v>23238717</v>
      </c>
    </row>
    <row r="41" spans="1:12">
      <c r="A41" s="35"/>
      <c r="B41" s="53">
        <v>46094</v>
      </c>
      <c r="C41" s="54">
        <v>29</v>
      </c>
      <c r="D41" s="54">
        <v>114</v>
      </c>
      <c r="E41" s="40">
        <v>399</v>
      </c>
      <c r="F41" s="42" t="s">
        <v>267</v>
      </c>
      <c r="G41" s="45" t="s">
        <v>240</v>
      </c>
      <c r="H41" s="37"/>
      <c r="I41" s="37">
        <v>209000</v>
      </c>
      <c r="J41" s="300">
        <f t="shared" si="1"/>
        <v>23029717</v>
      </c>
    </row>
    <row r="42" spans="1:12">
      <c r="A42" s="35"/>
      <c r="B42" s="53">
        <v>46097</v>
      </c>
      <c r="C42" s="54">
        <v>31</v>
      </c>
      <c r="D42" s="54" t="s">
        <v>363</v>
      </c>
      <c r="E42" s="236"/>
      <c r="F42" s="42" t="s">
        <v>242</v>
      </c>
      <c r="G42" s="45" t="s">
        <v>242</v>
      </c>
      <c r="H42" s="37"/>
      <c r="I42" s="37">
        <v>709240</v>
      </c>
      <c r="J42" s="300">
        <f t="shared" si="1"/>
        <v>22320477</v>
      </c>
    </row>
    <row r="43" spans="1:12">
      <c r="A43" s="35"/>
      <c r="B43" s="53">
        <v>46097</v>
      </c>
      <c r="C43" s="54">
        <v>32</v>
      </c>
      <c r="D43" s="54" t="s">
        <v>362</v>
      </c>
      <c r="E43" s="40">
        <v>414</v>
      </c>
      <c r="F43" s="42" t="s">
        <v>295</v>
      </c>
      <c r="G43" s="45" t="s">
        <v>320</v>
      </c>
      <c r="H43" s="37"/>
      <c r="I43" s="37">
        <v>806820</v>
      </c>
      <c r="J43" s="300">
        <f t="shared" si="1"/>
        <v>21513657</v>
      </c>
    </row>
    <row r="44" spans="1:12">
      <c r="A44" s="35"/>
      <c r="B44" s="53">
        <v>46098</v>
      </c>
      <c r="C44" s="54">
        <v>35</v>
      </c>
      <c r="D44" s="54" t="s">
        <v>414</v>
      </c>
      <c r="E44" s="40">
        <v>621</v>
      </c>
      <c r="F44" s="42" t="s">
        <v>295</v>
      </c>
      <c r="G44" s="45" t="s">
        <v>315</v>
      </c>
      <c r="H44" s="37"/>
      <c r="I44" s="37">
        <v>6329690</v>
      </c>
      <c r="J44" s="300">
        <f t="shared" si="1"/>
        <v>15183967</v>
      </c>
    </row>
    <row r="45" spans="1:12">
      <c r="A45" s="35"/>
      <c r="B45" s="53">
        <v>46098</v>
      </c>
      <c r="C45" s="54">
        <v>37</v>
      </c>
      <c r="D45" s="54" t="s">
        <v>344</v>
      </c>
      <c r="E45" s="40">
        <v>617</v>
      </c>
      <c r="F45" s="42" t="s">
        <v>242</v>
      </c>
      <c r="G45" s="42" t="s">
        <v>242</v>
      </c>
      <c r="H45" s="37"/>
      <c r="I45" s="37">
        <v>3240370</v>
      </c>
      <c r="J45" s="300">
        <f t="shared" si="1"/>
        <v>11943597</v>
      </c>
    </row>
    <row r="46" spans="1:12">
      <c r="A46" s="35"/>
      <c r="B46" s="53">
        <v>46099</v>
      </c>
      <c r="C46" s="54">
        <v>38</v>
      </c>
      <c r="D46" s="54" t="s">
        <v>368</v>
      </c>
      <c r="E46" s="40">
        <v>415</v>
      </c>
      <c r="F46" s="42" t="s">
        <v>267</v>
      </c>
      <c r="G46" s="45" t="s">
        <v>240</v>
      </c>
      <c r="H46" s="37"/>
      <c r="I46" s="37">
        <v>4532410</v>
      </c>
      <c r="J46" s="300">
        <f t="shared" si="1"/>
        <v>7411187</v>
      </c>
      <c r="L46" s="44" t="s">
        <v>223</v>
      </c>
    </row>
    <row r="47" spans="1:12">
      <c r="A47" s="35"/>
      <c r="B47" s="53">
        <v>46099</v>
      </c>
      <c r="C47" s="54">
        <v>39</v>
      </c>
      <c r="D47" s="54">
        <v>132</v>
      </c>
      <c r="E47" s="40">
        <v>420</v>
      </c>
      <c r="F47" s="42" t="s">
        <v>267</v>
      </c>
      <c r="G47" s="45" t="s">
        <v>316</v>
      </c>
      <c r="H47" s="37"/>
      <c r="I47" s="37">
        <v>77350</v>
      </c>
      <c r="J47" s="300">
        <f t="shared" si="1"/>
        <v>7333837</v>
      </c>
    </row>
    <row r="48" spans="1:12">
      <c r="A48" s="35"/>
      <c r="B48" s="53">
        <v>46099</v>
      </c>
      <c r="C48" s="54">
        <v>40</v>
      </c>
      <c r="D48" s="54">
        <v>133</v>
      </c>
      <c r="E48" s="40">
        <v>390</v>
      </c>
      <c r="F48" s="42" t="s">
        <v>270</v>
      </c>
      <c r="G48" s="42" t="s">
        <v>271</v>
      </c>
      <c r="H48" s="37"/>
      <c r="I48" s="37">
        <v>207840</v>
      </c>
      <c r="J48" s="300">
        <f t="shared" si="1"/>
        <v>7125997</v>
      </c>
    </row>
    <row r="49" spans="1:16">
      <c r="A49" s="35"/>
      <c r="B49" s="53">
        <v>46097</v>
      </c>
      <c r="C49" s="54">
        <v>33</v>
      </c>
      <c r="D49" s="54" t="s">
        <v>390</v>
      </c>
      <c r="E49" s="40">
        <v>618</v>
      </c>
      <c r="F49" s="42" t="s">
        <v>338</v>
      </c>
      <c r="G49" s="42" t="s">
        <v>338</v>
      </c>
      <c r="H49" s="37"/>
      <c r="I49" s="37">
        <v>16791040</v>
      </c>
      <c r="J49" s="300">
        <f t="shared" si="1"/>
        <v>-9665043</v>
      </c>
    </row>
    <row r="50" spans="1:16">
      <c r="A50" s="35"/>
      <c r="B50" s="53"/>
      <c r="C50" s="54"/>
      <c r="D50" s="54"/>
      <c r="E50" s="204">
        <v>508</v>
      </c>
      <c r="F50" s="290" t="s">
        <v>318</v>
      </c>
      <c r="G50" s="290" t="s">
        <v>338</v>
      </c>
      <c r="H50" s="216"/>
      <c r="I50" s="216">
        <v>693704</v>
      </c>
      <c r="J50" s="300">
        <f t="shared" si="1"/>
        <v>-10358747</v>
      </c>
    </row>
    <row r="51" spans="1:16">
      <c r="A51" s="35"/>
      <c r="B51" s="53"/>
      <c r="C51" s="54"/>
      <c r="D51" s="54"/>
      <c r="E51" s="204">
        <v>349</v>
      </c>
      <c r="F51" s="290" t="s">
        <v>318</v>
      </c>
      <c r="G51" s="290" t="s">
        <v>318</v>
      </c>
      <c r="H51" s="216"/>
      <c r="I51" s="216">
        <v>139320</v>
      </c>
      <c r="J51" s="300">
        <f t="shared" si="1"/>
        <v>-10498067</v>
      </c>
    </row>
    <row r="52" spans="1:16">
      <c r="A52" s="35"/>
      <c r="B52" s="53">
        <v>46099</v>
      </c>
      <c r="C52" s="54">
        <v>41</v>
      </c>
      <c r="D52" s="54" t="s">
        <v>474</v>
      </c>
      <c r="E52" s="40">
        <v>742</v>
      </c>
      <c r="F52" s="42" t="s">
        <v>319</v>
      </c>
      <c r="G52" s="42" t="s">
        <v>319</v>
      </c>
      <c r="H52" s="37"/>
      <c r="I52" s="37">
        <v>377752</v>
      </c>
      <c r="J52" s="300">
        <f t="shared" si="1"/>
        <v>-10875819</v>
      </c>
    </row>
    <row r="53" spans="1:16">
      <c r="A53" s="35"/>
      <c r="B53" s="53">
        <v>46100</v>
      </c>
      <c r="C53" s="54">
        <v>42</v>
      </c>
      <c r="D53" s="54" t="s">
        <v>460</v>
      </c>
      <c r="E53" s="40">
        <v>876</v>
      </c>
      <c r="F53" s="42" t="s">
        <v>287</v>
      </c>
      <c r="G53" s="42" t="s">
        <v>420</v>
      </c>
      <c r="H53" s="37"/>
      <c r="I53" s="37">
        <v>5938100</v>
      </c>
      <c r="J53" s="300">
        <f t="shared" si="1"/>
        <v>-16813919</v>
      </c>
    </row>
    <row r="54" spans="1:16" s="49" customFormat="1">
      <c r="B54" s="330" t="s">
        <v>69</v>
      </c>
      <c r="C54" s="331"/>
      <c r="D54" s="331"/>
      <c r="E54" s="331"/>
      <c r="F54" s="331"/>
      <c r="G54" s="331"/>
      <c r="H54" s="331"/>
      <c r="I54" s="331"/>
      <c r="J54" s="332"/>
      <c r="M54" s="190"/>
    </row>
    <row r="55" spans="1:16">
      <c r="B55" s="53"/>
      <c r="C55" s="54"/>
      <c r="D55" s="54"/>
      <c r="E55" s="54"/>
      <c r="F55" s="42" t="s">
        <v>171</v>
      </c>
      <c r="G55" s="42" t="s">
        <v>171</v>
      </c>
      <c r="H55" s="37">
        <f>SUBVENCION!I25+SUBVENCION!J25</f>
        <v>68410150</v>
      </c>
      <c r="I55" s="37"/>
      <c r="J55" s="300">
        <f>+J53+H55-I55</f>
        <v>51596231</v>
      </c>
      <c r="L55" s="97" t="s">
        <v>5</v>
      </c>
      <c r="M55" s="36" t="s">
        <v>214</v>
      </c>
      <c r="N55" s="97" t="s">
        <v>212</v>
      </c>
      <c r="O55" s="97" t="s">
        <v>213</v>
      </c>
      <c r="P55" s="97" t="s">
        <v>7</v>
      </c>
    </row>
    <row r="56" spans="1:16">
      <c r="B56" s="53"/>
      <c r="C56" s="54"/>
      <c r="D56" s="54"/>
      <c r="E56" s="54"/>
      <c r="F56" s="42" t="s">
        <v>199</v>
      </c>
      <c r="G56" s="42" t="s">
        <v>199</v>
      </c>
      <c r="H56" s="37"/>
      <c r="I56" s="37">
        <v>33153006</v>
      </c>
      <c r="J56" s="300">
        <f>+J55+H56-I56</f>
        <v>18443225</v>
      </c>
      <c r="L56" s="115">
        <f>H55</f>
        <v>68410150</v>
      </c>
      <c r="M56" s="101">
        <f>L56*10%</f>
        <v>6841015</v>
      </c>
      <c r="N56" s="115">
        <f>I56</f>
        <v>33153006</v>
      </c>
      <c r="O56" s="115">
        <f>SUM(I57:I72)</f>
        <v>6654573</v>
      </c>
      <c r="P56" s="115">
        <f>L56-M56-N56-O56</f>
        <v>21761556</v>
      </c>
    </row>
    <row r="57" spans="1:16">
      <c r="B57" s="53">
        <v>46113</v>
      </c>
      <c r="C57" s="54">
        <v>54</v>
      </c>
      <c r="D57" s="54">
        <v>228</v>
      </c>
      <c r="E57" s="40">
        <v>637</v>
      </c>
      <c r="F57" s="42" t="s">
        <v>222</v>
      </c>
      <c r="G57" s="45" t="s">
        <v>219</v>
      </c>
      <c r="H57" s="37"/>
      <c r="I57" s="37">
        <v>110000</v>
      </c>
      <c r="J57" s="300">
        <f t="shared" ref="J57:J72" si="2">+J56+H57-I57</f>
        <v>18333225</v>
      </c>
    </row>
    <row r="58" spans="1:16">
      <c r="B58" s="53">
        <v>46083</v>
      </c>
      <c r="C58" s="54">
        <v>2</v>
      </c>
      <c r="D58" s="54" t="s">
        <v>391</v>
      </c>
      <c r="E58" s="40">
        <v>742</v>
      </c>
      <c r="F58" s="42" t="s">
        <v>319</v>
      </c>
      <c r="G58" s="42" t="s">
        <v>584</v>
      </c>
      <c r="H58" s="37"/>
      <c r="I58" s="37">
        <f>1124626+651750</f>
        <v>1776376</v>
      </c>
      <c r="J58" s="300">
        <f t="shared" si="2"/>
        <v>16556849</v>
      </c>
    </row>
    <row r="59" spans="1:16">
      <c r="B59" s="53">
        <v>46121</v>
      </c>
      <c r="C59" s="54">
        <v>64</v>
      </c>
      <c r="D59" s="54" t="s">
        <v>434</v>
      </c>
      <c r="E59" s="40">
        <v>780</v>
      </c>
      <c r="F59" s="42" t="s">
        <v>219</v>
      </c>
      <c r="G59" s="45" t="s">
        <v>222</v>
      </c>
      <c r="H59" s="37"/>
      <c r="I59" s="37">
        <v>780000</v>
      </c>
      <c r="J59" s="300">
        <f t="shared" si="2"/>
        <v>15776849</v>
      </c>
    </row>
    <row r="60" spans="1:16">
      <c r="B60" s="53"/>
      <c r="C60" s="54"/>
      <c r="D60" s="54"/>
      <c r="E60" s="40">
        <v>428</v>
      </c>
      <c r="F60" s="42" t="s">
        <v>318</v>
      </c>
      <c r="G60" s="45" t="s">
        <v>382</v>
      </c>
      <c r="H60" s="37"/>
      <c r="I60" s="37">
        <v>300000</v>
      </c>
      <c r="J60" s="300">
        <f t="shared" si="2"/>
        <v>15476849</v>
      </c>
    </row>
    <row r="61" spans="1:16">
      <c r="B61" s="53">
        <v>46121</v>
      </c>
      <c r="C61" s="54">
        <v>65</v>
      </c>
      <c r="D61" s="54">
        <v>263</v>
      </c>
      <c r="E61" s="40">
        <v>609</v>
      </c>
      <c r="F61" s="42" t="s">
        <v>273</v>
      </c>
      <c r="G61" s="45" t="s">
        <v>387</v>
      </c>
      <c r="H61" s="37"/>
      <c r="I61" s="37">
        <v>205500</v>
      </c>
      <c r="J61" s="300">
        <f t="shared" si="2"/>
        <v>15271349</v>
      </c>
    </row>
    <row r="62" spans="1:16">
      <c r="B62" s="53">
        <v>46121</v>
      </c>
      <c r="C62" s="54">
        <v>59</v>
      </c>
      <c r="D62" s="54" t="s">
        <v>388</v>
      </c>
      <c r="E62" s="40">
        <v>608</v>
      </c>
      <c r="F62" s="42" t="s">
        <v>273</v>
      </c>
      <c r="G62" s="45" t="s">
        <v>240</v>
      </c>
      <c r="H62" s="37"/>
      <c r="I62" s="37">
        <v>204550</v>
      </c>
      <c r="J62" s="300">
        <f t="shared" si="2"/>
        <v>15066799</v>
      </c>
    </row>
    <row r="63" spans="1:16">
      <c r="B63" s="53">
        <v>46121</v>
      </c>
      <c r="C63" s="54">
        <v>66</v>
      </c>
      <c r="D63" s="54">
        <v>261</v>
      </c>
      <c r="E63" s="40">
        <v>610</v>
      </c>
      <c r="F63" s="42" t="s">
        <v>273</v>
      </c>
      <c r="G63" s="45" t="s">
        <v>389</v>
      </c>
      <c r="H63" s="37"/>
      <c r="I63" s="37">
        <v>209000</v>
      </c>
      <c r="J63" s="300">
        <f t="shared" si="2"/>
        <v>14857799</v>
      </c>
    </row>
    <row r="64" spans="1:16">
      <c r="B64" s="53">
        <v>46128</v>
      </c>
      <c r="C64" s="54">
        <v>72</v>
      </c>
      <c r="D64" s="54">
        <v>299</v>
      </c>
      <c r="E64" s="40">
        <v>600</v>
      </c>
      <c r="F64" s="42" t="s">
        <v>242</v>
      </c>
      <c r="G64" s="42" t="s">
        <v>242</v>
      </c>
      <c r="H64" s="37"/>
      <c r="I64" s="37">
        <v>206999</v>
      </c>
      <c r="J64" s="300">
        <f t="shared" si="2"/>
        <v>14650800</v>
      </c>
    </row>
    <row r="65" spans="2:16">
      <c r="B65" s="53">
        <v>46132</v>
      </c>
      <c r="C65" s="54">
        <v>75</v>
      </c>
      <c r="D65" s="54">
        <v>321</v>
      </c>
      <c r="E65" s="40">
        <v>655</v>
      </c>
      <c r="F65" s="42" t="s">
        <v>267</v>
      </c>
      <c r="G65" s="42" t="s">
        <v>267</v>
      </c>
      <c r="H65" s="37"/>
      <c r="I65" s="37">
        <v>207960</v>
      </c>
      <c r="J65" s="300">
        <f t="shared" si="2"/>
        <v>14442840</v>
      </c>
    </row>
    <row r="66" spans="2:16">
      <c r="B66" s="53">
        <v>46136</v>
      </c>
      <c r="C66" s="54">
        <v>79</v>
      </c>
      <c r="D66" s="54">
        <v>343</v>
      </c>
      <c r="E66" s="40">
        <v>760</v>
      </c>
      <c r="F66" s="42" t="s">
        <v>392</v>
      </c>
      <c r="G66" s="45" t="s">
        <v>407</v>
      </c>
      <c r="H66" s="37"/>
      <c r="I66" s="37">
        <v>42000</v>
      </c>
      <c r="J66" s="300">
        <f t="shared" si="2"/>
        <v>14400840</v>
      </c>
    </row>
    <row r="67" spans="2:16">
      <c r="B67" s="53">
        <v>46142</v>
      </c>
      <c r="C67" s="54">
        <v>82</v>
      </c>
      <c r="D67" s="54">
        <v>374</v>
      </c>
      <c r="E67" s="40">
        <v>747</v>
      </c>
      <c r="F67" s="42" t="s">
        <v>242</v>
      </c>
      <c r="G67" s="45" t="s">
        <v>424</v>
      </c>
      <c r="H67" s="37"/>
      <c r="I67" s="37">
        <v>208950</v>
      </c>
      <c r="J67" s="300">
        <f t="shared" si="2"/>
        <v>14191890</v>
      </c>
    </row>
    <row r="68" spans="2:16">
      <c r="B68" s="53"/>
      <c r="C68" s="54"/>
      <c r="D68" s="54"/>
      <c r="E68" s="40">
        <v>556</v>
      </c>
      <c r="F68" s="42" t="s">
        <v>318</v>
      </c>
      <c r="G68" s="42" t="s">
        <v>338</v>
      </c>
      <c r="H68" s="37"/>
      <c r="I68" s="37">
        <v>474808</v>
      </c>
      <c r="J68" s="300">
        <f t="shared" si="2"/>
        <v>13717082</v>
      </c>
    </row>
    <row r="69" spans="2:16">
      <c r="B69" s="127"/>
      <c r="C69" s="127"/>
      <c r="D69" s="127"/>
      <c r="E69" s="224">
        <v>557</v>
      </c>
      <c r="F69" s="42" t="s">
        <v>318</v>
      </c>
      <c r="G69" s="42" t="s">
        <v>338</v>
      </c>
      <c r="H69" s="205"/>
      <c r="I69" s="217">
        <v>697855</v>
      </c>
      <c r="J69" s="300">
        <f t="shared" si="2"/>
        <v>13019227</v>
      </c>
    </row>
    <row r="70" spans="2:16">
      <c r="B70" s="53"/>
      <c r="C70" s="54"/>
      <c r="D70" s="54"/>
      <c r="E70" s="40">
        <v>559</v>
      </c>
      <c r="F70" s="42" t="s">
        <v>318</v>
      </c>
      <c r="G70" s="42" t="s">
        <v>338</v>
      </c>
      <c r="H70" s="37"/>
      <c r="I70" s="37">
        <v>697383</v>
      </c>
      <c r="J70" s="300">
        <f t="shared" si="2"/>
        <v>12321844</v>
      </c>
    </row>
    <row r="71" spans="2:16">
      <c r="B71" s="53"/>
      <c r="C71" s="54"/>
      <c r="D71" s="54"/>
      <c r="E71" s="40">
        <v>663</v>
      </c>
      <c r="F71" s="42" t="s">
        <v>318</v>
      </c>
      <c r="G71" s="42" t="s">
        <v>338</v>
      </c>
      <c r="H71" s="37"/>
      <c r="I71" s="37">
        <v>533192</v>
      </c>
      <c r="J71" s="300">
        <f t="shared" si="2"/>
        <v>11788652</v>
      </c>
    </row>
    <row r="72" spans="2:16">
      <c r="B72" s="53"/>
      <c r="C72" s="54"/>
      <c r="D72" s="54"/>
      <c r="E72" s="40"/>
      <c r="F72" s="42"/>
      <c r="G72" s="45"/>
      <c r="H72" s="37"/>
      <c r="I72" s="37"/>
      <c r="J72" s="300">
        <f t="shared" si="2"/>
        <v>11788652</v>
      </c>
    </row>
    <row r="73" spans="2:16">
      <c r="B73" s="330" t="s">
        <v>120</v>
      </c>
      <c r="C73" s="331"/>
      <c r="D73" s="331"/>
      <c r="E73" s="331"/>
      <c r="F73" s="331"/>
      <c r="G73" s="331"/>
      <c r="H73" s="331"/>
      <c r="I73" s="331"/>
      <c r="J73" s="332"/>
    </row>
    <row r="74" spans="2:16">
      <c r="B74" s="53"/>
      <c r="C74" s="54"/>
      <c r="D74" s="54"/>
      <c r="E74" s="54"/>
      <c r="F74" s="42" t="s">
        <v>171</v>
      </c>
      <c r="G74" s="42" t="s">
        <v>171</v>
      </c>
      <c r="H74" s="37">
        <f>SUBVENCION!K25+SUBVENCION!L25</f>
        <v>68818362</v>
      </c>
      <c r="I74" s="37"/>
      <c r="J74" s="300">
        <f>+J72+H74-I74</f>
        <v>80607014</v>
      </c>
      <c r="L74" s="97" t="s">
        <v>5</v>
      </c>
      <c r="M74" s="36" t="s">
        <v>214</v>
      </c>
      <c r="N74" s="97" t="s">
        <v>212</v>
      </c>
      <c r="O74" s="97" t="s">
        <v>213</v>
      </c>
      <c r="P74" s="97" t="s">
        <v>7</v>
      </c>
    </row>
    <row r="75" spans="2:16">
      <c r="B75" s="53"/>
      <c r="C75" s="54"/>
      <c r="D75" s="54"/>
      <c r="E75" s="54"/>
      <c r="F75" s="42" t="s">
        <v>199</v>
      </c>
      <c r="G75" s="42" t="s">
        <v>199</v>
      </c>
      <c r="H75" s="37"/>
      <c r="I75" s="37">
        <v>33235687</v>
      </c>
      <c r="J75" s="300">
        <f>+J74+H75-I75</f>
        <v>47371327</v>
      </c>
      <c r="L75" s="115">
        <f>H74</f>
        <v>68818362</v>
      </c>
      <c r="M75" s="101">
        <f>L75*10%</f>
        <v>6881836.2000000002</v>
      </c>
      <c r="N75" s="115">
        <f>I75</f>
        <v>33235687</v>
      </c>
      <c r="O75" s="115">
        <f>SUM(I76:I97)</f>
        <v>10291358</v>
      </c>
      <c r="P75" s="115">
        <f>L75-M75-N75-O75</f>
        <v>18409480.799999997</v>
      </c>
    </row>
    <row r="76" spans="2:16">
      <c r="B76" s="53">
        <v>46146</v>
      </c>
      <c r="C76" s="54">
        <v>85</v>
      </c>
      <c r="D76" s="54" t="s">
        <v>454</v>
      </c>
      <c r="E76" s="40">
        <v>774</v>
      </c>
      <c r="F76" s="42" t="s">
        <v>425</v>
      </c>
      <c r="G76" s="45" t="s">
        <v>426</v>
      </c>
      <c r="H76" s="37"/>
      <c r="I76" s="37">
        <v>195800</v>
      </c>
      <c r="J76" s="300">
        <f t="shared" ref="J76:J97" si="3">+J75+H76-I76</f>
        <v>47175527</v>
      </c>
    </row>
    <row r="77" spans="2:16">
      <c r="B77" s="53">
        <v>46146</v>
      </c>
      <c r="C77" s="54">
        <v>86</v>
      </c>
      <c r="D77" s="54">
        <v>376</v>
      </c>
      <c r="E77" s="40">
        <v>754</v>
      </c>
      <c r="F77" s="42" t="s">
        <v>242</v>
      </c>
      <c r="G77" s="42" t="s">
        <v>242</v>
      </c>
      <c r="H77" s="37"/>
      <c r="I77" s="37">
        <v>208774</v>
      </c>
      <c r="J77" s="300">
        <f t="shared" si="3"/>
        <v>46966753</v>
      </c>
    </row>
    <row r="78" spans="2:16">
      <c r="B78" s="53">
        <v>46146</v>
      </c>
      <c r="C78" s="54">
        <v>87</v>
      </c>
      <c r="D78" s="54" t="s">
        <v>459</v>
      </c>
      <c r="E78" s="40">
        <v>779</v>
      </c>
      <c r="F78" s="42" t="s">
        <v>427</v>
      </c>
      <c r="G78" s="42" t="s">
        <v>427</v>
      </c>
      <c r="H78" s="37"/>
      <c r="I78" s="37">
        <v>679000</v>
      </c>
      <c r="J78" s="300">
        <f t="shared" si="3"/>
        <v>46287753</v>
      </c>
    </row>
    <row r="79" spans="2:16">
      <c r="B79" s="53">
        <v>46146</v>
      </c>
      <c r="C79" s="54">
        <v>88</v>
      </c>
      <c r="D79" s="54">
        <v>377</v>
      </c>
      <c r="E79" s="40">
        <v>704</v>
      </c>
      <c r="F79" s="42" t="s">
        <v>267</v>
      </c>
      <c r="G79" s="42" t="s">
        <v>267</v>
      </c>
      <c r="H79" s="37"/>
      <c r="I79" s="37">
        <v>99400</v>
      </c>
      <c r="J79" s="300">
        <f t="shared" si="3"/>
        <v>46188353</v>
      </c>
    </row>
    <row r="80" spans="2:16">
      <c r="B80" s="53">
        <v>46148</v>
      </c>
      <c r="C80" s="54">
        <v>91</v>
      </c>
      <c r="D80" s="54">
        <v>394</v>
      </c>
      <c r="E80" s="40">
        <v>763</v>
      </c>
      <c r="F80" s="42" t="s">
        <v>283</v>
      </c>
      <c r="G80" s="42" t="s">
        <v>501</v>
      </c>
      <c r="H80" s="37"/>
      <c r="I80" s="37">
        <v>206999</v>
      </c>
      <c r="J80" s="300">
        <f t="shared" si="3"/>
        <v>45981354</v>
      </c>
    </row>
    <row r="81" spans="2:13">
      <c r="B81" s="53">
        <v>46148</v>
      </c>
      <c r="C81" s="54">
        <v>92</v>
      </c>
      <c r="D81" s="54">
        <v>395</v>
      </c>
      <c r="E81" s="40">
        <v>765</v>
      </c>
      <c r="F81" s="42" t="s">
        <v>267</v>
      </c>
      <c r="G81" s="42" t="s">
        <v>267</v>
      </c>
      <c r="H81" s="37"/>
      <c r="I81" s="37">
        <v>208302</v>
      </c>
      <c r="J81" s="300">
        <f t="shared" si="3"/>
        <v>45773052</v>
      </c>
    </row>
    <row r="82" spans="2:13">
      <c r="B82" s="53">
        <v>46148</v>
      </c>
      <c r="C82" s="54">
        <v>94</v>
      </c>
      <c r="D82" s="54">
        <v>396</v>
      </c>
      <c r="E82" s="40">
        <v>762</v>
      </c>
      <c r="F82" s="42" t="s">
        <v>267</v>
      </c>
      <c r="G82" s="42" t="s">
        <v>267</v>
      </c>
      <c r="H82" s="37"/>
      <c r="I82" s="37">
        <v>209000</v>
      </c>
      <c r="J82" s="300">
        <f t="shared" si="3"/>
        <v>45564052</v>
      </c>
    </row>
    <row r="83" spans="2:13">
      <c r="B83" s="53">
        <v>46148</v>
      </c>
      <c r="C83" s="54">
        <v>95</v>
      </c>
      <c r="D83" s="54">
        <v>397</v>
      </c>
      <c r="E83" s="40">
        <v>967</v>
      </c>
      <c r="F83" s="42" t="s">
        <v>242</v>
      </c>
      <c r="G83" s="42" t="s">
        <v>242</v>
      </c>
      <c r="H83" s="37"/>
      <c r="I83" s="37">
        <v>211590</v>
      </c>
      <c r="J83" s="300">
        <f t="shared" si="3"/>
        <v>45352462</v>
      </c>
    </row>
    <row r="84" spans="2:13">
      <c r="B84" s="53">
        <v>46148</v>
      </c>
      <c r="C84" s="54">
        <v>96</v>
      </c>
      <c r="D84" s="54">
        <v>398</v>
      </c>
      <c r="E84" s="40">
        <v>745</v>
      </c>
      <c r="F84" s="42" t="s">
        <v>267</v>
      </c>
      <c r="G84" s="42" t="s">
        <v>267</v>
      </c>
      <c r="H84" s="37"/>
      <c r="I84" s="37">
        <v>207680</v>
      </c>
      <c r="J84" s="300">
        <f t="shared" si="3"/>
        <v>45144782</v>
      </c>
    </row>
    <row r="85" spans="2:13">
      <c r="B85" s="53">
        <v>46148</v>
      </c>
      <c r="C85" s="54">
        <v>98</v>
      </c>
      <c r="D85" s="54">
        <v>399</v>
      </c>
      <c r="E85" s="40">
        <v>764</v>
      </c>
      <c r="F85" s="42" t="s">
        <v>267</v>
      </c>
      <c r="G85" s="42" t="s">
        <v>267</v>
      </c>
      <c r="H85" s="37"/>
      <c r="I85" s="37">
        <v>194992</v>
      </c>
      <c r="J85" s="300">
        <f t="shared" si="3"/>
        <v>44949790</v>
      </c>
    </row>
    <row r="86" spans="2:13" s="89" customFormat="1">
      <c r="B86" s="53" t="s">
        <v>223</v>
      </c>
      <c r="C86" s="54">
        <v>97</v>
      </c>
      <c r="D86" s="54" t="s">
        <v>491</v>
      </c>
      <c r="E86" s="178">
        <v>952</v>
      </c>
      <c r="F86" s="42" t="s">
        <v>278</v>
      </c>
      <c r="G86" s="42" t="s">
        <v>278</v>
      </c>
      <c r="H86" s="113"/>
      <c r="I86" s="189">
        <v>661997</v>
      </c>
      <c r="J86" s="300">
        <f t="shared" si="3"/>
        <v>44287793</v>
      </c>
      <c r="M86" s="192"/>
    </row>
    <row r="87" spans="2:13">
      <c r="B87" s="53">
        <v>46148</v>
      </c>
      <c r="C87" s="54">
        <v>93</v>
      </c>
      <c r="D87" s="54">
        <v>403</v>
      </c>
      <c r="E87" s="40">
        <v>822</v>
      </c>
      <c r="F87" s="42" t="s">
        <v>222</v>
      </c>
      <c r="G87" s="45" t="s">
        <v>219</v>
      </c>
      <c r="H87" s="37"/>
      <c r="I87" s="37">
        <v>205000</v>
      </c>
      <c r="J87" s="300">
        <f t="shared" si="3"/>
        <v>44082793</v>
      </c>
    </row>
    <row r="88" spans="2:13">
      <c r="B88" s="53">
        <v>46149</v>
      </c>
      <c r="C88" s="54">
        <v>99</v>
      </c>
      <c r="D88" s="54">
        <v>413</v>
      </c>
      <c r="E88" s="40">
        <v>766</v>
      </c>
      <c r="F88" s="42" t="s">
        <v>267</v>
      </c>
      <c r="G88" s="42" t="s">
        <v>267</v>
      </c>
      <c r="H88" s="37"/>
      <c r="I88" s="37">
        <v>208640</v>
      </c>
      <c r="J88" s="300">
        <f t="shared" si="3"/>
        <v>43874153</v>
      </c>
    </row>
    <row r="89" spans="2:13">
      <c r="B89" s="53">
        <v>46155</v>
      </c>
      <c r="C89" s="54">
        <v>103</v>
      </c>
      <c r="D89" s="54" t="s">
        <v>473</v>
      </c>
      <c r="E89" s="164">
        <v>971</v>
      </c>
      <c r="F89" s="42" t="s">
        <v>219</v>
      </c>
      <c r="G89" s="42" t="s">
        <v>222</v>
      </c>
      <c r="H89" s="37"/>
      <c r="I89" s="37">
        <v>810000</v>
      </c>
      <c r="J89" s="300">
        <f t="shared" si="3"/>
        <v>43064153</v>
      </c>
    </row>
    <row r="90" spans="2:13">
      <c r="B90" s="53">
        <v>46153</v>
      </c>
      <c r="C90" s="54">
        <v>102</v>
      </c>
      <c r="D90" s="54" t="s">
        <v>569</v>
      </c>
      <c r="E90" s="164">
        <v>1080</v>
      </c>
      <c r="F90" s="42" t="s">
        <v>219</v>
      </c>
      <c r="G90" s="42" t="s">
        <v>222</v>
      </c>
      <c r="H90" s="37"/>
      <c r="I90" s="37">
        <v>4177860</v>
      </c>
      <c r="J90" s="300">
        <f t="shared" si="3"/>
        <v>38886293</v>
      </c>
    </row>
    <row r="91" spans="2:13">
      <c r="B91" s="53">
        <v>46155</v>
      </c>
      <c r="C91" s="54">
        <v>104</v>
      </c>
      <c r="D91" s="54">
        <v>455</v>
      </c>
      <c r="E91" s="164">
        <v>829</v>
      </c>
      <c r="F91" s="42" t="s">
        <v>353</v>
      </c>
      <c r="G91" s="42" t="s">
        <v>353</v>
      </c>
      <c r="H91" s="37"/>
      <c r="I91" s="37">
        <v>202300</v>
      </c>
      <c r="J91" s="300">
        <f t="shared" si="3"/>
        <v>38683993</v>
      </c>
    </row>
    <row r="92" spans="2:13">
      <c r="B92" s="53">
        <v>46157</v>
      </c>
      <c r="C92" s="54">
        <v>106</v>
      </c>
      <c r="D92" s="54" t="s">
        <v>288</v>
      </c>
      <c r="E92" s="164"/>
      <c r="F92" s="42" t="s">
        <v>219</v>
      </c>
      <c r="G92" s="42" t="s">
        <v>222</v>
      </c>
      <c r="H92" s="37"/>
      <c r="I92" s="37">
        <v>540000</v>
      </c>
      <c r="J92" s="300">
        <f t="shared" si="3"/>
        <v>38143993</v>
      </c>
    </row>
    <row r="93" spans="2:13">
      <c r="B93" s="53">
        <v>46167</v>
      </c>
      <c r="C93" s="54">
        <v>111</v>
      </c>
      <c r="D93" s="54">
        <v>474</v>
      </c>
      <c r="E93" s="164">
        <v>846</v>
      </c>
      <c r="F93" s="42" t="s">
        <v>353</v>
      </c>
      <c r="G93" s="42" t="s">
        <v>353</v>
      </c>
      <c r="H93" s="37"/>
      <c r="I93" s="37">
        <v>132090</v>
      </c>
      <c r="J93" s="300">
        <f t="shared" si="3"/>
        <v>38011903</v>
      </c>
    </row>
    <row r="94" spans="2:13">
      <c r="B94" s="53">
        <v>46162</v>
      </c>
      <c r="C94" s="54">
        <v>109</v>
      </c>
      <c r="D94" s="54">
        <v>469</v>
      </c>
      <c r="E94" s="164">
        <v>748</v>
      </c>
      <c r="F94" s="42" t="s">
        <v>267</v>
      </c>
      <c r="G94" s="42" t="s">
        <v>267</v>
      </c>
      <c r="H94" s="37"/>
      <c r="I94" s="37">
        <v>200000</v>
      </c>
      <c r="J94" s="300">
        <f t="shared" si="3"/>
        <v>37811903</v>
      </c>
    </row>
    <row r="95" spans="2:13">
      <c r="B95" s="53">
        <v>46162</v>
      </c>
      <c r="C95" s="54">
        <v>107</v>
      </c>
      <c r="D95" s="54">
        <v>470</v>
      </c>
      <c r="E95" s="164">
        <v>775</v>
      </c>
      <c r="F95" s="42" t="s">
        <v>278</v>
      </c>
      <c r="G95" s="42" t="s">
        <v>278</v>
      </c>
      <c r="H95" s="37"/>
      <c r="I95" s="37">
        <v>123522</v>
      </c>
      <c r="J95" s="300">
        <f t="shared" si="3"/>
        <v>37688381</v>
      </c>
    </row>
    <row r="96" spans="2:13">
      <c r="B96" s="53">
        <v>46170</v>
      </c>
      <c r="C96" s="54"/>
      <c r="D96" s="54"/>
      <c r="E96" s="164">
        <v>717</v>
      </c>
      <c r="F96" s="42" t="s">
        <v>318</v>
      </c>
      <c r="G96" s="42" t="s">
        <v>461</v>
      </c>
      <c r="H96" s="37"/>
      <c r="I96" s="37">
        <v>230660</v>
      </c>
      <c r="J96" s="300">
        <f t="shared" si="3"/>
        <v>37457721</v>
      </c>
    </row>
    <row r="97" spans="1:16">
      <c r="B97" s="53"/>
      <c r="C97" s="54"/>
      <c r="D97" s="54" t="s">
        <v>474</v>
      </c>
      <c r="E97" s="40">
        <v>742</v>
      </c>
      <c r="F97" s="42" t="s">
        <v>319</v>
      </c>
      <c r="G97" s="42" t="s">
        <v>584</v>
      </c>
      <c r="H97" s="37"/>
      <c r="I97" s="37">
        <v>377752</v>
      </c>
      <c r="J97" s="300">
        <f t="shared" si="3"/>
        <v>37079969</v>
      </c>
    </row>
    <row r="98" spans="1:16">
      <c r="B98" s="330" t="s">
        <v>129</v>
      </c>
      <c r="C98" s="331"/>
      <c r="D98" s="331"/>
      <c r="E98" s="331"/>
      <c r="F98" s="331"/>
      <c r="G98" s="331"/>
      <c r="H98" s="331"/>
      <c r="I98" s="331"/>
      <c r="J98" s="332"/>
    </row>
    <row r="99" spans="1:16">
      <c r="B99" s="53"/>
      <c r="C99" s="54"/>
      <c r="D99" s="54"/>
      <c r="E99" s="54"/>
      <c r="F99" s="42" t="s">
        <v>171</v>
      </c>
      <c r="G99" s="42" t="s">
        <v>171</v>
      </c>
      <c r="H99" s="37">
        <f>SUBVENCION!M25+SUBVENCION!N25</f>
        <v>74713909</v>
      </c>
      <c r="I99" s="37"/>
      <c r="J99" s="300">
        <f>+J97+H99-I99</f>
        <v>111793878</v>
      </c>
      <c r="L99" s="97" t="s">
        <v>5</v>
      </c>
      <c r="M99" s="36" t="s">
        <v>214</v>
      </c>
      <c r="N99" s="97" t="s">
        <v>212</v>
      </c>
      <c r="O99" s="97" t="s">
        <v>213</v>
      </c>
      <c r="P99" s="97" t="s">
        <v>7</v>
      </c>
    </row>
    <row r="100" spans="1:16">
      <c r="B100" s="53"/>
      <c r="C100" s="54"/>
      <c r="D100" s="54"/>
      <c r="E100" s="54"/>
      <c r="F100" s="42" t="s">
        <v>199</v>
      </c>
      <c r="G100" s="42" t="s">
        <v>199</v>
      </c>
      <c r="H100" s="37"/>
      <c r="I100" s="37">
        <v>33717336</v>
      </c>
      <c r="J100" s="300">
        <f>+J99+H100-I100</f>
        <v>78076542</v>
      </c>
      <c r="L100" s="115">
        <f>H99</f>
        <v>74713909</v>
      </c>
      <c r="M100" s="101">
        <f>L100*10%</f>
        <v>7471390.9000000004</v>
      </c>
      <c r="N100" s="115">
        <f>I100</f>
        <v>33717336</v>
      </c>
      <c r="O100" s="115">
        <f>I101+I102+I103+I105+I106+I107+I108</f>
        <v>2822941</v>
      </c>
      <c r="P100" s="115">
        <f>L100-M100-N100-O100</f>
        <v>30702241.099999994</v>
      </c>
    </row>
    <row r="101" spans="1:16">
      <c r="B101" s="53">
        <v>46174</v>
      </c>
      <c r="C101" s="54">
        <v>115</v>
      </c>
      <c r="D101" s="54" t="s">
        <v>500</v>
      </c>
      <c r="E101" s="40">
        <v>952</v>
      </c>
      <c r="F101" s="42" t="s">
        <v>315</v>
      </c>
      <c r="G101" s="42" t="s">
        <v>315</v>
      </c>
      <c r="H101" s="37"/>
      <c r="I101" s="37">
        <v>1749300</v>
      </c>
      <c r="J101" s="300">
        <f t="shared" ref="J101:J109" si="4">+J100+H101-I101</f>
        <v>76327242</v>
      </c>
    </row>
    <row r="102" spans="1:16">
      <c r="B102" s="53">
        <v>46174</v>
      </c>
      <c r="C102" s="54">
        <v>116</v>
      </c>
      <c r="D102" s="54">
        <v>517</v>
      </c>
      <c r="E102" s="40">
        <v>984</v>
      </c>
      <c r="F102" s="42" t="s">
        <v>470</v>
      </c>
      <c r="G102" s="45" t="s">
        <v>219</v>
      </c>
      <c r="H102" s="37"/>
      <c r="I102" s="37">
        <v>100000</v>
      </c>
      <c r="J102" s="300">
        <f t="shared" si="4"/>
        <v>76227242</v>
      </c>
    </row>
    <row r="103" spans="1:16">
      <c r="B103" s="53">
        <v>46176</v>
      </c>
      <c r="C103" s="54">
        <v>119</v>
      </c>
      <c r="D103" s="54">
        <v>526</v>
      </c>
      <c r="E103" s="40">
        <v>974</v>
      </c>
      <c r="F103" s="42" t="s">
        <v>267</v>
      </c>
      <c r="G103" s="42" t="s">
        <v>475</v>
      </c>
      <c r="H103" s="37"/>
      <c r="I103" s="37">
        <v>90000</v>
      </c>
      <c r="J103" s="300">
        <f t="shared" si="4"/>
        <v>76137242</v>
      </c>
    </row>
    <row r="104" spans="1:16">
      <c r="B104" s="53">
        <v>46176</v>
      </c>
      <c r="C104" s="54">
        <v>120</v>
      </c>
      <c r="D104" s="54">
        <v>539</v>
      </c>
      <c r="E104" s="40">
        <v>1028</v>
      </c>
      <c r="F104" s="42" t="s">
        <v>250</v>
      </c>
      <c r="G104" s="42" t="s">
        <v>548</v>
      </c>
      <c r="H104" s="37"/>
      <c r="I104" s="37">
        <f>93759+44921+62490</f>
        <v>201170</v>
      </c>
      <c r="J104" s="300">
        <f>+J103+H104-I104</f>
        <v>75936072</v>
      </c>
    </row>
    <row r="105" spans="1:16">
      <c r="B105" s="53">
        <v>46182</v>
      </c>
      <c r="C105" s="54">
        <v>123</v>
      </c>
      <c r="D105" s="54" t="s">
        <v>288</v>
      </c>
      <c r="E105" s="40"/>
      <c r="F105" s="42" t="s">
        <v>278</v>
      </c>
      <c r="G105" s="45" t="s">
        <v>484</v>
      </c>
      <c r="H105" s="37"/>
      <c r="I105" s="37">
        <v>253000</v>
      </c>
      <c r="J105" s="300">
        <f t="shared" si="4"/>
        <v>75683072</v>
      </c>
    </row>
    <row r="106" spans="1:16">
      <c r="B106" s="53">
        <v>45820</v>
      </c>
      <c r="C106" s="54">
        <v>128</v>
      </c>
      <c r="D106" s="54">
        <v>583</v>
      </c>
      <c r="E106" s="40">
        <v>966</v>
      </c>
      <c r="F106" s="42" t="s">
        <v>242</v>
      </c>
      <c r="G106" s="42" t="s">
        <v>242</v>
      </c>
      <c r="H106" s="37"/>
      <c r="I106" s="37">
        <v>209916</v>
      </c>
      <c r="J106" s="300">
        <f t="shared" si="4"/>
        <v>75473156</v>
      </c>
    </row>
    <row r="107" spans="1:16">
      <c r="B107" s="53">
        <v>46191</v>
      </c>
      <c r="C107" s="54">
        <v>132</v>
      </c>
      <c r="D107" s="54" t="s">
        <v>594</v>
      </c>
      <c r="E107" s="40">
        <v>1191</v>
      </c>
      <c r="F107" s="42" t="s">
        <v>267</v>
      </c>
      <c r="G107" s="42" t="s">
        <v>505</v>
      </c>
      <c r="H107" s="37"/>
      <c r="I107" s="37">
        <v>367175</v>
      </c>
      <c r="J107" s="300">
        <f t="shared" si="4"/>
        <v>75105981</v>
      </c>
    </row>
    <row r="108" spans="1:16">
      <c r="B108" s="53">
        <v>46192</v>
      </c>
      <c r="C108" s="54">
        <v>133</v>
      </c>
      <c r="D108" s="54">
        <v>608</v>
      </c>
      <c r="E108" s="40">
        <v>983</v>
      </c>
      <c r="F108" s="42" t="s">
        <v>309</v>
      </c>
      <c r="G108" s="45" t="s">
        <v>506</v>
      </c>
      <c r="H108" s="37"/>
      <c r="I108" s="37">
        <v>53550</v>
      </c>
      <c r="J108" s="300">
        <f t="shared" si="4"/>
        <v>75052431</v>
      </c>
    </row>
    <row r="109" spans="1:16">
      <c r="B109" s="53">
        <v>46189</v>
      </c>
      <c r="C109" s="54">
        <v>130</v>
      </c>
      <c r="D109" s="54" t="s">
        <v>696</v>
      </c>
      <c r="E109" s="40">
        <v>1251</v>
      </c>
      <c r="F109" s="42" t="s">
        <v>267</v>
      </c>
      <c r="G109" s="42" t="s">
        <v>267</v>
      </c>
      <c r="H109" s="37"/>
      <c r="I109" s="37">
        <v>1065694</v>
      </c>
      <c r="J109" s="300">
        <f t="shared" si="4"/>
        <v>73986737</v>
      </c>
    </row>
    <row r="110" spans="1:16">
      <c r="A110" s="35"/>
      <c r="B110" s="341" t="s">
        <v>65</v>
      </c>
      <c r="C110" s="342"/>
      <c r="D110" s="342"/>
      <c r="E110" s="342"/>
      <c r="F110" s="342"/>
      <c r="G110" s="342"/>
      <c r="H110" s="342"/>
      <c r="I110" s="342"/>
      <c r="J110" s="343"/>
    </row>
    <row r="111" spans="1:16">
      <c r="A111" s="35"/>
      <c r="B111" s="53"/>
      <c r="C111" s="54"/>
      <c r="D111" s="54"/>
      <c r="E111" s="54"/>
      <c r="F111" s="42" t="s">
        <v>171</v>
      </c>
      <c r="G111" s="42" t="s">
        <v>171</v>
      </c>
      <c r="H111" s="37">
        <f>+SUBVENCION!O25+SUBVENCION!P25</f>
        <v>66325415</v>
      </c>
      <c r="I111" s="37"/>
      <c r="J111" s="300">
        <f>+J109+H111-I111</f>
        <v>140312152</v>
      </c>
    </row>
    <row r="112" spans="1:16">
      <c r="A112" s="35"/>
      <c r="B112" s="53"/>
      <c r="C112" s="54"/>
      <c r="D112" s="54"/>
      <c r="E112" s="40"/>
      <c r="F112" s="42" t="s">
        <v>199</v>
      </c>
      <c r="G112" s="42" t="s">
        <v>199</v>
      </c>
      <c r="H112" s="37"/>
      <c r="I112" s="37">
        <v>33316798</v>
      </c>
      <c r="J112" s="300">
        <f>+J111+H112-I112</f>
        <v>106995354</v>
      </c>
      <c r="L112" s="97" t="s">
        <v>5</v>
      </c>
      <c r="M112" s="36" t="s">
        <v>214</v>
      </c>
      <c r="N112" s="97" t="s">
        <v>212</v>
      </c>
      <c r="O112" s="97" t="s">
        <v>213</v>
      </c>
      <c r="P112" s="97" t="s">
        <v>7</v>
      </c>
    </row>
    <row r="113" spans="1:16">
      <c r="A113" s="35"/>
      <c r="B113" s="53">
        <v>46210</v>
      </c>
      <c r="C113" s="54">
        <v>134</v>
      </c>
      <c r="D113" s="54">
        <v>617</v>
      </c>
      <c r="E113" s="40">
        <v>1021</v>
      </c>
      <c r="F113" s="42" t="s">
        <v>267</v>
      </c>
      <c r="G113" s="45" t="s">
        <v>240</v>
      </c>
      <c r="H113" s="37"/>
      <c r="I113" s="37">
        <v>214499</v>
      </c>
      <c r="J113" s="300">
        <f t="shared" ref="J113:J136" si="5">+J112+H113-I113</f>
        <v>106780855</v>
      </c>
      <c r="L113" s="115">
        <f>H111</f>
        <v>66325415</v>
      </c>
      <c r="M113" s="101">
        <f>L113*10%</f>
        <v>6632541.5</v>
      </c>
      <c r="N113" s="115">
        <f>I112</f>
        <v>33316798</v>
      </c>
      <c r="O113" s="115">
        <f>SUM(I113:I136)</f>
        <v>20303309</v>
      </c>
      <c r="P113" s="115">
        <f>L113-M113-N113-O113</f>
        <v>6072766.5</v>
      </c>
    </row>
    <row r="114" spans="1:16">
      <c r="A114" s="35"/>
      <c r="B114" s="53">
        <v>46210</v>
      </c>
      <c r="C114" s="54">
        <v>135</v>
      </c>
      <c r="D114" s="54">
        <v>634</v>
      </c>
      <c r="E114" s="40">
        <v>1150</v>
      </c>
      <c r="F114" s="42" t="s">
        <v>267</v>
      </c>
      <c r="G114" s="45" t="s">
        <v>523</v>
      </c>
      <c r="H114" s="37"/>
      <c r="I114" s="37">
        <v>159416</v>
      </c>
      <c r="J114" s="300">
        <f t="shared" si="5"/>
        <v>106621439</v>
      </c>
    </row>
    <row r="115" spans="1:16">
      <c r="A115" s="35"/>
      <c r="B115" s="53">
        <v>46212</v>
      </c>
      <c r="C115" s="54">
        <v>137</v>
      </c>
      <c r="D115" s="54" t="s">
        <v>593</v>
      </c>
      <c r="E115" s="40">
        <v>1206</v>
      </c>
      <c r="F115" s="42" t="s">
        <v>524</v>
      </c>
      <c r="G115" s="45" t="s">
        <v>525</v>
      </c>
      <c r="H115" s="37"/>
      <c r="I115" s="37">
        <v>9085949</v>
      </c>
      <c r="J115" s="300">
        <f t="shared" si="5"/>
        <v>97535490</v>
      </c>
    </row>
    <row r="116" spans="1:16">
      <c r="A116" s="35"/>
      <c r="B116" s="53">
        <v>46213</v>
      </c>
      <c r="C116" s="54">
        <v>138</v>
      </c>
      <c r="D116" s="54" t="s">
        <v>588</v>
      </c>
      <c r="E116" s="40">
        <v>1249</v>
      </c>
      <c r="F116" s="42" t="s">
        <v>250</v>
      </c>
      <c r="G116" s="45" t="s">
        <v>526</v>
      </c>
      <c r="H116" s="37"/>
      <c r="I116" s="37">
        <v>576000</v>
      </c>
      <c r="J116" s="300">
        <f t="shared" si="5"/>
        <v>96959490</v>
      </c>
    </row>
    <row r="117" spans="1:16">
      <c r="A117" s="35"/>
      <c r="B117" s="53">
        <v>46216</v>
      </c>
      <c r="C117" s="54">
        <v>139</v>
      </c>
      <c r="D117" s="54" t="s">
        <v>724</v>
      </c>
      <c r="E117" s="236"/>
      <c r="F117" s="42" t="s">
        <v>527</v>
      </c>
      <c r="G117" s="45" t="s">
        <v>528</v>
      </c>
      <c r="H117" s="37"/>
      <c r="I117" s="37">
        <v>2484200</v>
      </c>
      <c r="J117" s="300">
        <f t="shared" si="5"/>
        <v>94475290</v>
      </c>
    </row>
    <row r="118" spans="1:16">
      <c r="A118" s="35"/>
      <c r="B118" s="53">
        <v>46224</v>
      </c>
      <c r="C118" s="54">
        <v>146</v>
      </c>
      <c r="D118" s="54">
        <v>685</v>
      </c>
      <c r="E118" s="40">
        <v>1208</v>
      </c>
      <c r="F118" s="42" t="s">
        <v>250</v>
      </c>
      <c r="G118" s="45" t="s">
        <v>549</v>
      </c>
      <c r="H118" s="37"/>
      <c r="I118" s="37">
        <v>166243</v>
      </c>
      <c r="J118" s="300">
        <f t="shared" si="5"/>
        <v>94309047</v>
      </c>
    </row>
    <row r="119" spans="1:16">
      <c r="A119" s="35"/>
      <c r="B119" s="53">
        <v>46227</v>
      </c>
      <c r="C119" s="54">
        <v>148</v>
      </c>
      <c r="D119" s="54">
        <v>701</v>
      </c>
      <c r="E119" s="40">
        <v>1209</v>
      </c>
      <c r="F119" s="42" t="s">
        <v>250</v>
      </c>
      <c r="G119" s="45" t="s">
        <v>556</v>
      </c>
      <c r="H119" s="37"/>
      <c r="I119" s="37">
        <v>213600</v>
      </c>
      <c r="J119" s="300">
        <f t="shared" si="5"/>
        <v>94095447</v>
      </c>
    </row>
    <row r="120" spans="1:16">
      <c r="A120" s="35"/>
      <c r="B120" s="53">
        <v>46227</v>
      </c>
      <c r="C120" s="54">
        <v>151</v>
      </c>
      <c r="D120" s="54">
        <v>702</v>
      </c>
      <c r="E120" s="40">
        <v>1350</v>
      </c>
      <c r="F120" s="42" t="s">
        <v>250</v>
      </c>
      <c r="G120" s="45" t="s">
        <v>557</v>
      </c>
      <c r="H120" s="37"/>
      <c r="I120" s="37">
        <v>161840</v>
      </c>
      <c r="J120" s="300">
        <f t="shared" si="5"/>
        <v>93933607</v>
      </c>
    </row>
    <row r="121" spans="1:16">
      <c r="A121" s="35"/>
      <c r="B121" s="53">
        <v>46224</v>
      </c>
      <c r="C121" s="54">
        <v>142</v>
      </c>
      <c r="D121" s="54" t="s">
        <v>660</v>
      </c>
      <c r="E121" s="40">
        <v>1382</v>
      </c>
      <c r="F121" s="42" t="s">
        <v>565</v>
      </c>
      <c r="G121" s="45" t="s">
        <v>566</v>
      </c>
      <c r="H121" s="37"/>
      <c r="I121" s="37">
        <v>691308</v>
      </c>
      <c r="J121" s="300">
        <f t="shared" si="5"/>
        <v>93242299</v>
      </c>
    </row>
    <row r="122" spans="1:16">
      <c r="A122" s="35"/>
      <c r="B122" s="53">
        <v>46224</v>
      </c>
      <c r="C122" s="54">
        <v>140</v>
      </c>
      <c r="D122" s="54" t="s">
        <v>586</v>
      </c>
      <c r="E122" s="40">
        <v>1193</v>
      </c>
      <c r="F122" s="42" t="s">
        <v>542</v>
      </c>
      <c r="G122" s="45" t="s">
        <v>567</v>
      </c>
      <c r="H122" s="37"/>
      <c r="I122" s="37">
        <v>350002</v>
      </c>
      <c r="J122" s="300">
        <f t="shared" si="5"/>
        <v>92892297</v>
      </c>
    </row>
    <row r="123" spans="1:16">
      <c r="A123" s="35"/>
      <c r="B123" s="53"/>
      <c r="C123" s="54"/>
      <c r="D123" s="54"/>
      <c r="E123" s="40"/>
      <c r="F123" s="42" t="s">
        <v>318</v>
      </c>
      <c r="G123" s="42" t="s">
        <v>568</v>
      </c>
      <c r="H123" s="37"/>
      <c r="I123" s="37">
        <v>139320</v>
      </c>
      <c r="J123" s="300">
        <f t="shared" si="5"/>
        <v>92752977</v>
      </c>
    </row>
    <row r="124" spans="1:16">
      <c r="A124" s="35"/>
      <c r="B124" s="53">
        <v>46083</v>
      </c>
      <c r="C124" s="54">
        <v>2</v>
      </c>
      <c r="D124" s="54" t="s">
        <v>391</v>
      </c>
      <c r="E124" s="40">
        <v>1020</v>
      </c>
      <c r="F124" s="42" t="s">
        <v>319</v>
      </c>
      <c r="G124" s="42" t="s">
        <v>584</v>
      </c>
      <c r="H124" s="37"/>
      <c r="I124" s="37">
        <v>652097</v>
      </c>
      <c r="J124" s="300">
        <f t="shared" si="5"/>
        <v>92100880</v>
      </c>
    </row>
    <row r="125" spans="1:16">
      <c r="A125" s="35"/>
      <c r="B125" s="53">
        <v>46099</v>
      </c>
      <c r="C125" s="54">
        <v>41</v>
      </c>
      <c r="D125" s="54" t="s">
        <v>474</v>
      </c>
      <c r="E125" s="40">
        <v>1020</v>
      </c>
      <c r="F125" s="42" t="s">
        <v>319</v>
      </c>
      <c r="G125" s="42" t="s">
        <v>319</v>
      </c>
      <c r="H125" s="37"/>
      <c r="I125" s="37">
        <v>378100</v>
      </c>
      <c r="J125" s="300">
        <f t="shared" si="5"/>
        <v>91722780</v>
      </c>
    </row>
    <row r="126" spans="1:16">
      <c r="A126" s="35"/>
      <c r="B126" s="53">
        <v>46230</v>
      </c>
      <c r="C126" s="40">
        <v>158</v>
      </c>
      <c r="D126" s="40">
        <v>719</v>
      </c>
      <c r="E126" s="40" t="s">
        <v>701</v>
      </c>
      <c r="F126" s="42" t="s">
        <v>250</v>
      </c>
      <c r="G126" s="42" t="s">
        <v>570</v>
      </c>
      <c r="H126" s="37"/>
      <c r="I126" s="37">
        <v>107100</v>
      </c>
      <c r="J126" s="300">
        <f t="shared" si="5"/>
        <v>91615680</v>
      </c>
    </row>
    <row r="127" spans="1:16">
      <c r="A127" s="35"/>
      <c r="B127" s="53">
        <v>46230</v>
      </c>
      <c r="C127" s="54">
        <v>155</v>
      </c>
      <c r="D127" s="54">
        <v>718</v>
      </c>
      <c r="E127" s="236"/>
      <c r="F127" s="42" t="s">
        <v>250</v>
      </c>
      <c r="G127" s="45" t="s">
        <v>576</v>
      </c>
      <c r="H127" s="37"/>
      <c r="I127" s="37">
        <v>138600</v>
      </c>
      <c r="J127" s="300">
        <f t="shared" si="5"/>
        <v>91477080</v>
      </c>
    </row>
    <row r="128" spans="1:16">
      <c r="A128" s="35"/>
      <c r="B128" s="53">
        <v>46230</v>
      </c>
      <c r="C128" s="54">
        <v>154</v>
      </c>
      <c r="D128" s="54">
        <v>717</v>
      </c>
      <c r="E128" s="40">
        <v>1201</v>
      </c>
      <c r="F128" s="42" t="s">
        <v>250</v>
      </c>
      <c r="G128" s="45" t="s">
        <v>577</v>
      </c>
      <c r="H128" s="37"/>
      <c r="I128" s="37">
        <v>207040</v>
      </c>
      <c r="J128" s="300">
        <f t="shared" si="5"/>
        <v>91270040</v>
      </c>
    </row>
    <row r="129" spans="1:16">
      <c r="A129" s="35"/>
      <c r="B129" s="53">
        <v>46230</v>
      </c>
      <c r="C129" s="54">
        <v>156</v>
      </c>
      <c r="D129" s="54" t="s">
        <v>624</v>
      </c>
      <c r="E129" s="40" t="s">
        <v>511</v>
      </c>
      <c r="F129" s="42" t="s">
        <v>250</v>
      </c>
      <c r="G129" s="45" t="s">
        <v>580</v>
      </c>
      <c r="H129" s="37"/>
      <c r="I129" s="37">
        <v>0</v>
      </c>
      <c r="J129" s="300">
        <f t="shared" si="5"/>
        <v>91270040</v>
      </c>
    </row>
    <row r="130" spans="1:16">
      <c r="A130" s="35"/>
      <c r="B130" s="53">
        <v>46230</v>
      </c>
      <c r="C130" s="54">
        <v>157</v>
      </c>
      <c r="D130" s="54" t="s">
        <v>632</v>
      </c>
      <c r="E130" s="236"/>
      <c r="F130" s="42" t="s">
        <v>222</v>
      </c>
      <c r="G130" s="45" t="s">
        <v>581</v>
      </c>
      <c r="H130" s="37"/>
      <c r="I130" s="37">
        <v>700000</v>
      </c>
      <c r="J130" s="300">
        <f t="shared" si="5"/>
        <v>90570040</v>
      </c>
    </row>
    <row r="131" spans="1:16">
      <c r="A131" s="35"/>
      <c r="B131" s="53">
        <v>46233</v>
      </c>
      <c r="C131" s="54">
        <v>161</v>
      </c>
      <c r="D131" s="54">
        <v>748</v>
      </c>
      <c r="E131" s="40">
        <v>1262</v>
      </c>
      <c r="F131" s="42" t="s">
        <v>242</v>
      </c>
      <c r="G131" s="45" t="s">
        <v>242</v>
      </c>
      <c r="H131" s="37"/>
      <c r="I131" s="37">
        <v>213210</v>
      </c>
      <c r="J131" s="300">
        <f t="shared" si="5"/>
        <v>90356830</v>
      </c>
    </row>
    <row r="132" spans="1:16">
      <c r="A132" s="35"/>
      <c r="B132" s="53">
        <v>46234</v>
      </c>
      <c r="C132" s="54">
        <v>162</v>
      </c>
      <c r="D132" s="54">
        <v>749</v>
      </c>
      <c r="E132" s="40">
        <v>1265</v>
      </c>
      <c r="F132" s="42" t="s">
        <v>250</v>
      </c>
      <c r="G132" s="45" t="s">
        <v>605</v>
      </c>
      <c r="H132" s="37"/>
      <c r="I132" s="37">
        <v>214023</v>
      </c>
      <c r="J132" s="300">
        <f t="shared" si="5"/>
        <v>90142807</v>
      </c>
    </row>
    <row r="133" spans="1:16">
      <c r="A133" s="35"/>
      <c r="B133" s="53">
        <v>46232</v>
      </c>
      <c r="C133" s="54">
        <v>160</v>
      </c>
      <c r="D133" s="54">
        <v>766</v>
      </c>
      <c r="E133" s="40">
        <v>1261</v>
      </c>
      <c r="F133" s="42" t="s">
        <v>293</v>
      </c>
      <c r="G133" s="45" t="s">
        <v>609</v>
      </c>
      <c r="H133" s="37"/>
      <c r="I133" s="37">
        <v>213486</v>
      </c>
      <c r="J133" s="300">
        <f t="shared" si="5"/>
        <v>89929321</v>
      </c>
    </row>
    <row r="134" spans="1:16">
      <c r="A134" s="35"/>
      <c r="B134" s="53">
        <v>46230</v>
      </c>
      <c r="C134" s="54">
        <v>153</v>
      </c>
      <c r="D134" s="54" t="s">
        <v>633</v>
      </c>
      <c r="E134" s="40"/>
      <c r="F134" s="42" t="s">
        <v>293</v>
      </c>
      <c r="G134" s="45" t="s">
        <v>634</v>
      </c>
      <c r="H134" s="37"/>
      <c r="I134" s="37">
        <v>2249100</v>
      </c>
      <c r="J134" s="300">
        <f t="shared" si="5"/>
        <v>87680221</v>
      </c>
    </row>
    <row r="135" spans="1:16">
      <c r="A135" s="35"/>
      <c r="B135" s="53">
        <v>46227</v>
      </c>
      <c r="C135" s="54">
        <v>149</v>
      </c>
      <c r="D135" s="54" t="s">
        <v>628</v>
      </c>
      <c r="E135" s="40"/>
      <c r="F135" s="42" t="s">
        <v>242</v>
      </c>
      <c r="G135" s="45" t="s">
        <v>703</v>
      </c>
      <c r="H135" s="37"/>
      <c r="I135" s="37">
        <v>714476</v>
      </c>
      <c r="J135" s="300">
        <f t="shared" si="5"/>
        <v>86965745</v>
      </c>
    </row>
    <row r="136" spans="1:16">
      <c r="A136" s="35"/>
      <c r="B136" s="53">
        <v>46232</v>
      </c>
      <c r="C136" s="54">
        <v>164</v>
      </c>
      <c r="D136" s="54" t="s">
        <v>725</v>
      </c>
      <c r="E136" s="40"/>
      <c r="F136" s="42" t="s">
        <v>250</v>
      </c>
      <c r="G136" s="45" t="s">
        <v>643</v>
      </c>
      <c r="H136" s="37"/>
      <c r="I136" s="37">
        <v>273700</v>
      </c>
      <c r="J136" s="300">
        <f t="shared" si="5"/>
        <v>86692045</v>
      </c>
    </row>
    <row r="137" spans="1:16">
      <c r="A137" s="35"/>
      <c r="B137" s="320" t="s">
        <v>130</v>
      </c>
      <c r="C137" s="321"/>
      <c r="D137" s="321"/>
      <c r="E137" s="321"/>
      <c r="F137" s="321"/>
      <c r="G137" s="321"/>
      <c r="H137" s="321"/>
      <c r="I137" s="321"/>
      <c r="J137" s="322"/>
    </row>
    <row r="138" spans="1:16">
      <c r="A138" s="35"/>
      <c r="B138" s="41"/>
      <c r="C138" s="54"/>
      <c r="D138" s="54"/>
      <c r="E138" s="42"/>
      <c r="F138" s="42" t="s">
        <v>171</v>
      </c>
      <c r="G138" s="42" t="s">
        <v>171</v>
      </c>
      <c r="H138" s="37">
        <f>+SUBVENCION!Q25+SUBVENCION!R25</f>
        <v>63851779</v>
      </c>
      <c r="I138" s="37"/>
      <c r="J138" s="300">
        <f>+J136+H138-I138</f>
        <v>150543824</v>
      </c>
    </row>
    <row r="139" spans="1:16">
      <c r="A139" s="35"/>
      <c r="B139" s="41"/>
      <c r="C139" s="54"/>
      <c r="D139" s="54"/>
      <c r="E139" s="42"/>
      <c r="F139" s="42" t="s">
        <v>199</v>
      </c>
      <c r="G139" s="42" t="s">
        <v>199</v>
      </c>
      <c r="H139" s="37"/>
      <c r="I139" s="37">
        <v>33386587</v>
      </c>
      <c r="J139" s="300">
        <f>+J138+H139-I139</f>
        <v>117157237</v>
      </c>
      <c r="L139" s="97" t="s">
        <v>5</v>
      </c>
      <c r="M139" s="36" t="s">
        <v>214</v>
      </c>
      <c r="N139" s="97" t="s">
        <v>212</v>
      </c>
      <c r="O139" s="97" t="s">
        <v>213</v>
      </c>
      <c r="P139" s="97" t="s">
        <v>7</v>
      </c>
    </row>
    <row r="140" spans="1:16">
      <c r="A140" s="35"/>
      <c r="B140" s="41">
        <v>46239</v>
      </c>
      <c r="C140" s="54">
        <v>165</v>
      </c>
      <c r="D140" s="54">
        <v>767</v>
      </c>
      <c r="E140" s="40">
        <v>1263</v>
      </c>
      <c r="F140" s="42" t="s">
        <v>353</v>
      </c>
      <c r="G140" s="45" t="s">
        <v>353</v>
      </c>
      <c r="H140" s="37"/>
      <c r="I140" s="37">
        <v>206999</v>
      </c>
      <c r="J140" s="300">
        <f t="shared" ref="J140:J178" si="6">+J139+H140-I140</f>
        <v>116950238</v>
      </c>
      <c r="L140" s="115">
        <f>H138</f>
        <v>63851779</v>
      </c>
      <c r="M140" s="101">
        <f>H138*10%</f>
        <v>6385177.9000000004</v>
      </c>
      <c r="N140" s="115">
        <f>I139</f>
        <v>33386587</v>
      </c>
      <c r="O140" s="115">
        <f>SUM(I140:I178)</f>
        <v>45969627</v>
      </c>
      <c r="P140" s="115">
        <f>L140-M140-N140-O140</f>
        <v>-21889612.899999999</v>
      </c>
    </row>
    <row r="141" spans="1:16">
      <c r="A141" s="35"/>
      <c r="B141" s="41">
        <v>46240</v>
      </c>
      <c r="C141" s="54">
        <v>167</v>
      </c>
      <c r="D141" s="54">
        <v>768</v>
      </c>
      <c r="E141" s="40">
        <v>1264</v>
      </c>
      <c r="F141" s="42" t="s">
        <v>542</v>
      </c>
      <c r="G141" s="45" t="s">
        <v>610</v>
      </c>
      <c r="H141" s="37"/>
      <c r="I141" s="37">
        <v>214940</v>
      </c>
      <c r="J141" s="300">
        <f t="shared" si="6"/>
        <v>116735298</v>
      </c>
    </row>
    <row r="142" spans="1:16">
      <c r="A142" s="35"/>
      <c r="B142" s="198">
        <v>46244</v>
      </c>
      <c r="C142" s="288">
        <v>169</v>
      </c>
      <c r="D142" s="288" t="s">
        <v>749</v>
      </c>
      <c r="E142" s="200" t="s">
        <v>701</v>
      </c>
      <c r="F142" s="199" t="s">
        <v>250</v>
      </c>
      <c r="G142" s="201" t="s">
        <v>614</v>
      </c>
      <c r="H142" s="189"/>
      <c r="I142" s="189">
        <v>2952463</v>
      </c>
      <c r="J142" s="300">
        <f t="shared" si="6"/>
        <v>113782835</v>
      </c>
    </row>
    <row r="143" spans="1:16">
      <c r="A143" s="35"/>
      <c r="B143" s="198">
        <v>46244</v>
      </c>
      <c r="C143" s="288">
        <v>168</v>
      </c>
      <c r="D143" s="288">
        <v>774</v>
      </c>
      <c r="E143" s="200">
        <v>1295</v>
      </c>
      <c r="F143" s="199" t="s">
        <v>250</v>
      </c>
      <c r="G143" s="201" t="s">
        <v>622</v>
      </c>
      <c r="H143" s="189"/>
      <c r="I143" s="189">
        <v>213000</v>
      </c>
      <c r="J143" s="300">
        <f t="shared" si="6"/>
        <v>113569835</v>
      </c>
    </row>
    <row r="144" spans="1:16">
      <c r="A144" s="35"/>
      <c r="B144" s="198">
        <v>46245</v>
      </c>
      <c r="C144" s="288">
        <v>170</v>
      </c>
      <c r="D144" s="288" t="s">
        <v>692</v>
      </c>
      <c r="E144" s="200"/>
      <c r="F144" s="199" t="s">
        <v>250</v>
      </c>
      <c r="G144" s="201" t="s">
        <v>642</v>
      </c>
      <c r="H144" s="189"/>
      <c r="I144" s="189">
        <v>493825</v>
      </c>
      <c r="J144" s="300">
        <f t="shared" si="6"/>
        <v>113076010</v>
      </c>
    </row>
    <row r="145" spans="1:10">
      <c r="A145" s="35"/>
      <c r="B145" s="198">
        <v>46248</v>
      </c>
      <c r="C145" s="288">
        <v>172</v>
      </c>
      <c r="D145" s="288">
        <v>805</v>
      </c>
      <c r="E145" s="200">
        <v>1383</v>
      </c>
      <c r="F145" s="199" t="s">
        <v>250</v>
      </c>
      <c r="G145" s="201" t="s">
        <v>646</v>
      </c>
      <c r="H145" s="189"/>
      <c r="I145" s="189">
        <v>213129</v>
      </c>
      <c r="J145" s="300">
        <f t="shared" si="6"/>
        <v>112862881</v>
      </c>
    </row>
    <row r="146" spans="1:10">
      <c r="A146" s="35"/>
      <c r="B146" s="198">
        <v>46248</v>
      </c>
      <c r="C146" s="288">
        <v>171</v>
      </c>
      <c r="D146" s="288">
        <v>811</v>
      </c>
      <c r="E146" s="200">
        <v>1420</v>
      </c>
      <c r="F146" s="199" t="s">
        <v>250</v>
      </c>
      <c r="G146" s="201" t="s">
        <v>649</v>
      </c>
      <c r="H146" s="189"/>
      <c r="I146" s="189">
        <v>213660</v>
      </c>
      <c r="J146" s="300">
        <f t="shared" si="6"/>
        <v>112649221</v>
      </c>
    </row>
    <row r="147" spans="1:10">
      <c r="A147" s="35"/>
      <c r="B147" s="41">
        <v>46248</v>
      </c>
      <c r="C147" s="54">
        <v>173</v>
      </c>
      <c r="D147" s="54">
        <v>812</v>
      </c>
      <c r="E147" s="40">
        <v>1384</v>
      </c>
      <c r="F147" s="42" t="s">
        <v>250</v>
      </c>
      <c r="G147" s="45" t="s">
        <v>650</v>
      </c>
      <c r="H147" s="37"/>
      <c r="I147" s="37">
        <v>214676</v>
      </c>
      <c r="J147" s="300">
        <f t="shared" si="6"/>
        <v>112434545</v>
      </c>
    </row>
    <row r="148" spans="1:10">
      <c r="A148" s="35"/>
      <c r="B148" s="41">
        <v>46251</v>
      </c>
      <c r="C148" s="54">
        <v>175</v>
      </c>
      <c r="D148" s="54">
        <v>815</v>
      </c>
      <c r="E148" s="40">
        <v>1386</v>
      </c>
      <c r="F148" s="42" t="s">
        <v>250</v>
      </c>
      <c r="G148" s="45" t="s">
        <v>651</v>
      </c>
      <c r="H148" s="37"/>
      <c r="I148" s="37">
        <v>214000</v>
      </c>
      <c r="J148" s="300">
        <f t="shared" si="6"/>
        <v>112220545</v>
      </c>
    </row>
    <row r="149" spans="1:10">
      <c r="A149" s="35"/>
      <c r="B149" s="41">
        <v>46251</v>
      </c>
      <c r="C149" s="54">
        <v>174</v>
      </c>
      <c r="D149" s="54">
        <v>814</v>
      </c>
      <c r="E149" s="236"/>
      <c r="F149" s="42" t="s">
        <v>250</v>
      </c>
      <c r="G149" s="45" t="s">
        <v>652</v>
      </c>
      <c r="H149" s="37"/>
      <c r="I149" s="37">
        <v>196350</v>
      </c>
      <c r="J149" s="300">
        <f t="shared" si="6"/>
        <v>112024195</v>
      </c>
    </row>
    <row r="150" spans="1:10">
      <c r="A150" s="35"/>
      <c r="B150" s="41">
        <v>46251</v>
      </c>
      <c r="C150" s="54">
        <v>176</v>
      </c>
      <c r="D150" s="54" t="s">
        <v>715</v>
      </c>
      <c r="E150" s="40"/>
      <c r="F150" s="42" t="s">
        <v>250</v>
      </c>
      <c r="G150" s="45" t="s">
        <v>653</v>
      </c>
      <c r="H150" s="37"/>
      <c r="I150" s="37">
        <v>3600000</v>
      </c>
      <c r="J150" s="300">
        <f t="shared" si="6"/>
        <v>108424195</v>
      </c>
    </row>
    <row r="151" spans="1:10">
      <c r="A151" s="35"/>
      <c r="B151" s="41">
        <v>46252</v>
      </c>
      <c r="C151" s="54">
        <v>178</v>
      </c>
      <c r="D151" s="54">
        <v>838</v>
      </c>
      <c r="E151" s="236"/>
      <c r="F151" s="42" t="s">
        <v>250</v>
      </c>
      <c r="G151" s="45" t="s">
        <v>670</v>
      </c>
      <c r="H151" s="37"/>
      <c r="I151" s="37">
        <v>208997</v>
      </c>
      <c r="J151" s="300">
        <f t="shared" si="6"/>
        <v>108215198</v>
      </c>
    </row>
    <row r="152" spans="1:10">
      <c r="A152" s="35"/>
      <c r="B152" s="41">
        <v>46253</v>
      </c>
      <c r="C152" s="54">
        <v>179</v>
      </c>
      <c r="D152" s="54" t="s">
        <v>354</v>
      </c>
      <c r="E152" s="40"/>
      <c r="F152" s="42" t="s">
        <v>527</v>
      </c>
      <c r="G152" s="45" t="s">
        <v>665</v>
      </c>
      <c r="H152" s="37"/>
      <c r="I152" s="37">
        <v>7164900</v>
      </c>
      <c r="J152" s="300">
        <f t="shared" si="6"/>
        <v>101050298</v>
      </c>
    </row>
    <row r="153" spans="1:10">
      <c r="A153" s="35"/>
      <c r="B153" s="41">
        <v>46254</v>
      </c>
      <c r="C153" s="54">
        <v>181</v>
      </c>
      <c r="D153" s="54" t="s">
        <v>756</v>
      </c>
      <c r="E153" s="40"/>
      <c r="F153" s="42" t="s">
        <v>222</v>
      </c>
      <c r="G153" s="45" t="s">
        <v>245</v>
      </c>
      <c r="H153" s="37"/>
      <c r="I153" s="37">
        <v>699000</v>
      </c>
      <c r="J153" s="300">
        <f t="shared" si="6"/>
        <v>100351298</v>
      </c>
    </row>
    <row r="154" spans="1:10">
      <c r="A154" s="35"/>
      <c r="B154" s="41">
        <v>46254</v>
      </c>
      <c r="C154" s="54">
        <v>182</v>
      </c>
      <c r="D154" s="54" t="s">
        <v>354</v>
      </c>
      <c r="E154" s="40"/>
      <c r="F154" s="42" t="s">
        <v>250</v>
      </c>
      <c r="G154" s="45" t="s">
        <v>666</v>
      </c>
      <c r="H154" s="37"/>
      <c r="I154" s="37">
        <v>462972</v>
      </c>
      <c r="J154" s="300">
        <f t="shared" si="6"/>
        <v>99888326</v>
      </c>
    </row>
    <row r="155" spans="1:10">
      <c r="A155" s="35"/>
      <c r="B155" s="41">
        <v>46254</v>
      </c>
      <c r="C155" s="54">
        <v>183</v>
      </c>
      <c r="D155" s="54">
        <v>841</v>
      </c>
      <c r="E155" s="40">
        <v>1419</v>
      </c>
      <c r="F155" s="42" t="s">
        <v>250</v>
      </c>
      <c r="G155" s="45" t="s">
        <v>671</v>
      </c>
      <c r="H155" s="37"/>
      <c r="I155" s="37">
        <v>213000</v>
      </c>
      <c r="J155" s="300">
        <f t="shared" si="6"/>
        <v>99675326</v>
      </c>
    </row>
    <row r="156" spans="1:10">
      <c r="A156" s="35"/>
      <c r="B156" s="41">
        <v>46254</v>
      </c>
      <c r="C156" s="54">
        <v>184</v>
      </c>
      <c r="D156" s="54">
        <v>843</v>
      </c>
      <c r="E156" s="40" t="s">
        <v>511</v>
      </c>
      <c r="F156" s="42" t="s">
        <v>250</v>
      </c>
      <c r="G156" s="45" t="s">
        <v>672</v>
      </c>
      <c r="H156" s="37"/>
      <c r="I156" s="37">
        <v>172550</v>
      </c>
      <c r="J156" s="300">
        <f t="shared" si="6"/>
        <v>99502776</v>
      </c>
    </row>
    <row r="157" spans="1:10">
      <c r="A157" s="35"/>
      <c r="B157" s="41">
        <v>46259</v>
      </c>
      <c r="C157" s="54">
        <v>185</v>
      </c>
      <c r="D157" s="54">
        <v>864</v>
      </c>
      <c r="E157" s="40">
        <v>1417</v>
      </c>
      <c r="F157" s="42" t="s">
        <v>250</v>
      </c>
      <c r="G157" s="45" t="s">
        <v>677</v>
      </c>
      <c r="H157" s="37"/>
      <c r="I157" s="37">
        <v>214800</v>
      </c>
      <c r="J157" s="300">
        <f t="shared" si="6"/>
        <v>99287976</v>
      </c>
    </row>
    <row r="158" spans="1:10">
      <c r="A158" s="35"/>
      <c r="B158" s="41">
        <v>46259</v>
      </c>
      <c r="C158" s="54">
        <v>187</v>
      </c>
      <c r="D158" s="54" t="s">
        <v>760</v>
      </c>
      <c r="E158" s="236"/>
      <c r="F158" s="42" t="s">
        <v>542</v>
      </c>
      <c r="G158" s="45" t="s">
        <v>261</v>
      </c>
      <c r="H158" s="37"/>
      <c r="I158" s="37">
        <v>688290</v>
      </c>
      <c r="J158" s="300">
        <f t="shared" si="6"/>
        <v>98599686</v>
      </c>
    </row>
    <row r="159" spans="1:10">
      <c r="A159" s="35"/>
      <c r="B159" s="41">
        <v>46260</v>
      </c>
      <c r="C159" s="54">
        <v>188</v>
      </c>
      <c r="D159" s="54">
        <v>870</v>
      </c>
      <c r="E159" s="40"/>
      <c r="F159" s="42" t="s">
        <v>242</v>
      </c>
      <c r="G159" s="45" t="s">
        <v>242</v>
      </c>
      <c r="H159" s="37"/>
      <c r="I159" s="37">
        <v>171241</v>
      </c>
      <c r="J159" s="300">
        <f t="shared" si="6"/>
        <v>98428445</v>
      </c>
    </row>
    <row r="160" spans="1:10">
      <c r="A160" s="35"/>
      <c r="B160" s="41">
        <v>46260</v>
      </c>
      <c r="C160" s="54">
        <v>189</v>
      </c>
      <c r="D160" s="54">
        <v>873</v>
      </c>
      <c r="E160" s="40"/>
      <c r="F160" s="42" t="s">
        <v>250</v>
      </c>
      <c r="G160" s="45" t="s">
        <v>680</v>
      </c>
      <c r="H160" s="37"/>
      <c r="I160" s="37">
        <v>211470</v>
      </c>
      <c r="J160" s="300">
        <f t="shared" si="6"/>
        <v>98216975</v>
      </c>
    </row>
    <row r="161" spans="1:10">
      <c r="A161" s="35"/>
      <c r="B161" s="41">
        <v>46260</v>
      </c>
      <c r="C161" s="54">
        <v>190</v>
      </c>
      <c r="D161" s="54">
        <v>876</v>
      </c>
      <c r="E161" s="40"/>
      <c r="F161" s="42" t="s">
        <v>283</v>
      </c>
      <c r="G161" s="45" t="s">
        <v>681</v>
      </c>
      <c r="H161" s="37"/>
      <c r="I161" s="37">
        <v>214000</v>
      </c>
      <c r="J161" s="300">
        <f t="shared" si="6"/>
        <v>98002975</v>
      </c>
    </row>
    <row r="162" spans="1:10">
      <c r="A162" s="35"/>
      <c r="B162" s="41">
        <v>46260</v>
      </c>
      <c r="C162" s="54">
        <v>191</v>
      </c>
      <c r="D162" s="54">
        <v>879</v>
      </c>
      <c r="E162" s="236"/>
      <c r="F162" s="42" t="s">
        <v>392</v>
      </c>
      <c r="G162" s="45" t="s">
        <v>684</v>
      </c>
      <c r="H162" s="37"/>
      <c r="I162" s="37">
        <v>214000</v>
      </c>
      <c r="J162" s="300">
        <f t="shared" si="6"/>
        <v>97788975</v>
      </c>
    </row>
    <row r="163" spans="1:10">
      <c r="A163" s="35"/>
      <c r="B163" s="41">
        <v>46261</v>
      </c>
      <c r="C163" s="54">
        <v>193</v>
      </c>
      <c r="D163" s="54">
        <v>882</v>
      </c>
      <c r="E163" s="40"/>
      <c r="F163" s="42" t="s">
        <v>242</v>
      </c>
      <c r="G163" s="45" t="s">
        <v>616</v>
      </c>
      <c r="H163" s="37"/>
      <c r="I163" s="37">
        <v>214652</v>
      </c>
      <c r="J163" s="300">
        <f t="shared" si="6"/>
        <v>97574323</v>
      </c>
    </row>
    <row r="164" spans="1:10">
      <c r="A164" s="35"/>
      <c r="B164" s="41">
        <v>46261</v>
      </c>
      <c r="C164" s="54">
        <v>199</v>
      </c>
      <c r="D164" s="54">
        <v>895</v>
      </c>
      <c r="E164" s="236"/>
      <c r="F164" s="42" t="s">
        <v>690</v>
      </c>
      <c r="G164" s="45" t="s">
        <v>690</v>
      </c>
      <c r="H164" s="37"/>
      <c r="I164" s="37">
        <v>180000</v>
      </c>
      <c r="J164" s="300">
        <f t="shared" si="6"/>
        <v>97394323</v>
      </c>
    </row>
    <row r="165" spans="1:10">
      <c r="A165" s="35"/>
      <c r="B165" s="41">
        <v>46261</v>
      </c>
      <c r="C165" s="54">
        <v>196</v>
      </c>
      <c r="D165" s="54" t="s">
        <v>354</v>
      </c>
      <c r="E165" s="40"/>
      <c r="F165" s="42" t="s">
        <v>250</v>
      </c>
      <c r="G165" s="45" t="s">
        <v>250</v>
      </c>
      <c r="H165" s="37"/>
      <c r="I165" s="37">
        <v>7112710</v>
      </c>
      <c r="J165" s="300">
        <f t="shared" si="6"/>
        <v>90281613</v>
      </c>
    </row>
    <row r="166" spans="1:10">
      <c r="A166" s="35"/>
      <c r="B166" s="41">
        <v>46261</v>
      </c>
      <c r="C166" s="54">
        <v>197</v>
      </c>
      <c r="D166" s="54" t="s">
        <v>765</v>
      </c>
      <c r="E166" s="40" t="s">
        <v>701</v>
      </c>
      <c r="F166" s="42" t="s">
        <v>250</v>
      </c>
      <c r="G166" s="45" t="s">
        <v>691</v>
      </c>
      <c r="H166" s="37"/>
      <c r="I166" s="37">
        <v>500000</v>
      </c>
      <c r="J166" s="300">
        <f t="shared" si="6"/>
        <v>89781613</v>
      </c>
    </row>
    <row r="167" spans="1:10">
      <c r="A167" s="35"/>
      <c r="B167" s="41">
        <v>46261</v>
      </c>
      <c r="C167" s="54">
        <v>194</v>
      </c>
      <c r="D167" s="54" t="s">
        <v>354</v>
      </c>
      <c r="E167" s="40"/>
      <c r="F167" s="42" t="s">
        <v>663</v>
      </c>
      <c r="G167" s="45" t="s">
        <v>516</v>
      </c>
      <c r="H167" s="37"/>
      <c r="I167" s="37">
        <v>5605000</v>
      </c>
      <c r="J167" s="300">
        <f t="shared" si="6"/>
        <v>84176613</v>
      </c>
    </row>
    <row r="168" spans="1:10">
      <c r="A168" s="35"/>
      <c r="B168" s="41">
        <v>46261</v>
      </c>
      <c r="C168" s="54">
        <v>198</v>
      </c>
      <c r="D168" s="54" t="s">
        <v>745</v>
      </c>
      <c r="E168" s="236"/>
      <c r="F168" s="42" t="s">
        <v>613</v>
      </c>
      <c r="G168" s="45" t="s">
        <v>261</v>
      </c>
      <c r="H168" s="37"/>
      <c r="I168" s="37">
        <v>882640</v>
      </c>
      <c r="J168" s="300">
        <f t="shared" si="6"/>
        <v>83293973</v>
      </c>
    </row>
    <row r="169" spans="1:10">
      <c r="A169" s="35"/>
      <c r="B169" s="41"/>
      <c r="C169" s="54">
        <v>41</v>
      </c>
      <c r="D169" s="54" t="s">
        <v>474</v>
      </c>
      <c r="E169" s="40">
        <v>1195</v>
      </c>
      <c r="F169" s="42" t="s">
        <v>319</v>
      </c>
      <c r="G169" s="42" t="s">
        <v>584</v>
      </c>
      <c r="H169" s="37"/>
      <c r="I169" s="37">
        <v>822427</v>
      </c>
      <c r="J169" s="300">
        <f t="shared" si="6"/>
        <v>82471546</v>
      </c>
    </row>
    <row r="170" spans="1:10">
      <c r="A170" s="35"/>
      <c r="B170" s="41"/>
      <c r="C170" s="54">
        <v>2</v>
      </c>
      <c r="D170" s="54" t="s">
        <v>391</v>
      </c>
      <c r="E170" s="40">
        <v>1187</v>
      </c>
      <c r="F170" s="42" t="s">
        <v>319</v>
      </c>
      <c r="G170" s="42" t="s">
        <v>584</v>
      </c>
      <c r="H170" s="37"/>
      <c r="I170" s="37">
        <v>48606</v>
      </c>
      <c r="J170" s="300">
        <f t="shared" si="6"/>
        <v>82422940</v>
      </c>
    </row>
    <row r="171" spans="1:10">
      <c r="A171" s="35"/>
      <c r="B171" s="41"/>
      <c r="C171" s="54"/>
      <c r="D171" s="54"/>
      <c r="E171" s="40"/>
      <c r="F171" s="42" t="s">
        <v>318</v>
      </c>
      <c r="G171" s="45" t="s">
        <v>318</v>
      </c>
      <c r="H171" s="37"/>
      <c r="I171" s="37">
        <v>700000</v>
      </c>
      <c r="J171" s="300">
        <f t="shared" si="6"/>
        <v>81722940</v>
      </c>
    </row>
    <row r="172" spans="1:10">
      <c r="A172" s="35"/>
      <c r="B172" s="41">
        <v>46262</v>
      </c>
      <c r="C172" s="54">
        <v>200</v>
      </c>
      <c r="D172" s="54" t="s">
        <v>767</v>
      </c>
      <c r="E172" s="236"/>
      <c r="F172" s="42" t="s">
        <v>250</v>
      </c>
      <c r="G172" s="45" t="s">
        <v>766</v>
      </c>
      <c r="H172" s="37"/>
      <c r="I172" s="37">
        <v>1200000</v>
      </c>
      <c r="J172" s="300">
        <f t="shared" si="6"/>
        <v>80522940</v>
      </c>
    </row>
    <row r="173" spans="1:10">
      <c r="A173" s="35"/>
      <c r="B173" s="41">
        <v>46262</v>
      </c>
      <c r="C173" s="54">
        <v>201</v>
      </c>
      <c r="D173" s="54">
        <v>899</v>
      </c>
      <c r="E173" s="40"/>
      <c r="F173" s="42" t="s">
        <v>250</v>
      </c>
      <c r="G173" s="45" t="s">
        <v>706</v>
      </c>
      <c r="H173" s="37"/>
      <c r="I173" s="37">
        <v>214200</v>
      </c>
      <c r="J173" s="300">
        <f t="shared" si="6"/>
        <v>80308740</v>
      </c>
    </row>
    <row r="174" spans="1:10">
      <c r="A174" s="35"/>
      <c r="B174" s="41">
        <v>46262</v>
      </c>
      <c r="C174" s="54">
        <v>202</v>
      </c>
      <c r="D174" s="54">
        <v>901</v>
      </c>
      <c r="E174" s="40"/>
      <c r="F174" s="42" t="s">
        <v>242</v>
      </c>
      <c r="G174" s="45" t="s">
        <v>242</v>
      </c>
      <c r="H174" s="37"/>
      <c r="I174" s="37">
        <v>214000</v>
      </c>
      <c r="J174" s="300">
        <f t="shared" si="6"/>
        <v>80094740</v>
      </c>
    </row>
    <row r="175" spans="1:10">
      <c r="A175" s="35"/>
      <c r="B175" s="41">
        <v>46262</v>
      </c>
      <c r="C175" s="54">
        <v>203</v>
      </c>
      <c r="D175" s="54" t="s">
        <v>747</v>
      </c>
      <c r="E175" s="236"/>
      <c r="F175" s="42" t="s">
        <v>250</v>
      </c>
      <c r="G175" s="45" t="s">
        <v>707</v>
      </c>
      <c r="H175" s="37"/>
      <c r="I175" s="37">
        <v>1047200</v>
      </c>
      <c r="J175" s="300">
        <f t="shared" si="6"/>
        <v>79047540</v>
      </c>
    </row>
    <row r="176" spans="1:10">
      <c r="A176" s="35"/>
      <c r="B176" s="41">
        <v>46265</v>
      </c>
      <c r="C176" s="54">
        <v>204</v>
      </c>
      <c r="D176" s="54" t="s">
        <v>354</v>
      </c>
      <c r="E176" s="40"/>
      <c r="F176" s="42" t="s">
        <v>250</v>
      </c>
      <c r="G176" s="45" t="s">
        <v>708</v>
      </c>
      <c r="H176" s="37"/>
      <c r="I176" s="37">
        <v>7199930</v>
      </c>
      <c r="J176" s="300">
        <f t="shared" si="6"/>
        <v>71847610</v>
      </c>
    </row>
    <row r="177" spans="1:16">
      <c r="A177" s="35"/>
      <c r="B177" s="41">
        <v>46265</v>
      </c>
      <c r="C177" s="54">
        <v>205</v>
      </c>
      <c r="D177" s="54" t="s">
        <v>354</v>
      </c>
      <c r="E177" s="40"/>
      <c r="F177" s="42" t="s">
        <v>709</v>
      </c>
      <c r="G177" s="45" t="s">
        <v>710</v>
      </c>
      <c r="H177" s="37"/>
      <c r="I177" s="37">
        <v>660000</v>
      </c>
      <c r="J177" s="300">
        <f t="shared" si="6"/>
        <v>71187610</v>
      </c>
    </row>
    <row r="178" spans="1:16">
      <c r="A178" s="35"/>
      <c r="B178" s="41"/>
      <c r="C178" s="54"/>
      <c r="D178" s="54"/>
      <c r="E178" s="40"/>
      <c r="F178" s="42"/>
      <c r="G178" s="45"/>
      <c r="H178" s="37"/>
      <c r="I178" s="37"/>
      <c r="J178" s="300">
        <f t="shared" si="6"/>
        <v>71187610</v>
      </c>
    </row>
    <row r="179" spans="1:16">
      <c r="A179" s="35"/>
      <c r="B179" s="320" t="s">
        <v>131</v>
      </c>
      <c r="C179" s="321"/>
      <c r="D179" s="321"/>
      <c r="E179" s="321"/>
      <c r="F179" s="321"/>
      <c r="G179" s="321"/>
      <c r="H179" s="321"/>
      <c r="I179" s="321"/>
      <c r="J179" s="322"/>
    </row>
    <row r="180" spans="1:16">
      <c r="A180" s="35"/>
      <c r="B180" s="41"/>
      <c r="C180" s="54"/>
      <c r="D180" s="54"/>
      <c r="E180" s="40"/>
      <c r="F180" s="42" t="s">
        <v>171</v>
      </c>
      <c r="G180" s="42" t="s">
        <v>171</v>
      </c>
      <c r="H180" s="37">
        <f>SUBVENCION!S25+SUBVENCION!T25</f>
        <v>64033760</v>
      </c>
      <c r="I180" s="37"/>
      <c r="J180" s="300">
        <f>+J178+H180-I180</f>
        <v>135221370</v>
      </c>
    </row>
    <row r="181" spans="1:16">
      <c r="A181" s="35"/>
      <c r="B181" s="41"/>
      <c r="C181" s="54"/>
      <c r="D181" s="54"/>
      <c r="E181" s="40"/>
      <c r="F181" s="42" t="s">
        <v>199</v>
      </c>
      <c r="G181" s="42" t="s">
        <v>199</v>
      </c>
      <c r="H181" s="37"/>
      <c r="I181" s="37">
        <v>33390040</v>
      </c>
      <c r="J181" s="300">
        <f>+J180+H181-I181</f>
        <v>101831330</v>
      </c>
      <c r="L181" s="97" t="s">
        <v>5</v>
      </c>
      <c r="M181" s="36" t="s">
        <v>214</v>
      </c>
      <c r="N181" s="97" t="s">
        <v>212</v>
      </c>
      <c r="O181" s="97" t="s">
        <v>213</v>
      </c>
      <c r="P181" s="97" t="s">
        <v>7</v>
      </c>
    </row>
    <row r="182" spans="1:16">
      <c r="A182" s="35"/>
      <c r="B182" s="41">
        <v>46266</v>
      </c>
      <c r="C182" s="54">
        <v>208</v>
      </c>
      <c r="D182" s="54">
        <v>916</v>
      </c>
      <c r="E182" s="236"/>
      <c r="F182" s="42" t="s">
        <v>250</v>
      </c>
      <c r="G182" s="42" t="s">
        <v>713</v>
      </c>
      <c r="H182" s="37"/>
      <c r="I182" s="37">
        <v>142800</v>
      </c>
      <c r="J182" s="300">
        <f t="shared" ref="J182:J184" si="7">+J181+H182-I182</f>
        <v>101688530</v>
      </c>
      <c r="L182" s="115">
        <f>H180</f>
        <v>64033760</v>
      </c>
      <c r="M182" s="101">
        <f>L182*10%</f>
        <v>6403376</v>
      </c>
      <c r="N182" s="115">
        <f>I181</f>
        <v>33390040</v>
      </c>
      <c r="O182" s="115">
        <f>SUM(I184:I209)</f>
        <v>29999225</v>
      </c>
      <c r="P182" s="115">
        <f>L182-M182-N182-O182</f>
        <v>-5758881</v>
      </c>
    </row>
    <row r="183" spans="1:16">
      <c r="A183" s="35"/>
      <c r="B183" s="41">
        <v>46266</v>
      </c>
      <c r="C183" s="54">
        <v>207</v>
      </c>
      <c r="D183" s="54">
        <v>917</v>
      </c>
      <c r="E183" s="40"/>
      <c r="F183" s="42" t="s">
        <v>250</v>
      </c>
      <c r="G183" s="42" t="s">
        <v>714</v>
      </c>
      <c r="H183" s="37"/>
      <c r="I183" s="37">
        <v>214900</v>
      </c>
      <c r="J183" s="300">
        <f t="shared" si="7"/>
        <v>101473630</v>
      </c>
      <c r="L183" s="186"/>
      <c r="M183" s="232"/>
      <c r="N183" s="186"/>
      <c r="O183" s="186"/>
      <c r="P183" s="186"/>
    </row>
    <row r="184" spans="1:16" ht="10.5" customHeight="1">
      <c r="A184" s="35"/>
      <c r="B184" s="41">
        <v>46267</v>
      </c>
      <c r="C184" s="54">
        <v>209</v>
      </c>
      <c r="D184" s="54" t="s">
        <v>354</v>
      </c>
      <c r="E184" s="40"/>
      <c r="F184" s="42" t="s">
        <v>250</v>
      </c>
      <c r="G184" s="45" t="s">
        <v>712</v>
      </c>
      <c r="H184" s="37"/>
      <c r="I184" s="37">
        <v>2250000</v>
      </c>
      <c r="J184" s="300">
        <f t="shared" si="7"/>
        <v>99223630</v>
      </c>
      <c r="M184" s="44"/>
    </row>
    <row r="185" spans="1:16">
      <c r="A185" s="35"/>
      <c r="B185" s="41">
        <v>46266</v>
      </c>
      <c r="C185" s="54">
        <v>210</v>
      </c>
      <c r="D185" s="54">
        <v>920</v>
      </c>
      <c r="E185" s="236"/>
      <c r="F185" s="42" t="s">
        <v>222</v>
      </c>
      <c r="G185" s="45" t="s">
        <v>245</v>
      </c>
      <c r="H185" s="37"/>
      <c r="I185" s="37">
        <v>180000</v>
      </c>
      <c r="J185" s="300">
        <f t="shared" ref="J185:J211" si="8">+J184+H185-I185</f>
        <v>99043630</v>
      </c>
    </row>
    <row r="186" spans="1:16">
      <c r="A186" s="35"/>
      <c r="B186" s="41">
        <v>46268</v>
      </c>
      <c r="C186" s="54">
        <v>212</v>
      </c>
      <c r="D186" s="54" t="s">
        <v>745</v>
      </c>
      <c r="E186" s="236"/>
      <c r="F186" s="42" t="s">
        <v>716</v>
      </c>
      <c r="G186" s="45" t="s">
        <v>716</v>
      </c>
      <c r="H186" s="37"/>
      <c r="I186" s="37">
        <v>1588650</v>
      </c>
      <c r="J186" s="300">
        <f t="shared" si="8"/>
        <v>97454980</v>
      </c>
    </row>
    <row r="187" spans="1:16">
      <c r="A187" s="35"/>
      <c r="B187" s="41">
        <v>46267</v>
      </c>
      <c r="C187" s="54">
        <v>211</v>
      </c>
      <c r="D187" s="54">
        <v>921</v>
      </c>
      <c r="E187" s="40"/>
      <c r="F187" s="42" t="s">
        <v>250</v>
      </c>
      <c r="G187" s="45" t="s">
        <v>672</v>
      </c>
      <c r="H187" s="37"/>
      <c r="I187" s="37">
        <v>172550</v>
      </c>
      <c r="J187" s="300">
        <f t="shared" si="8"/>
        <v>97282430</v>
      </c>
    </row>
    <row r="188" spans="1:16">
      <c r="A188" s="35"/>
      <c r="B188" s="41">
        <v>46269</v>
      </c>
      <c r="C188" s="54">
        <v>214</v>
      </c>
      <c r="D188" s="54" t="s">
        <v>746</v>
      </c>
      <c r="E188" s="236"/>
      <c r="F188" s="42" t="s">
        <v>245</v>
      </c>
      <c r="G188" s="45" t="s">
        <v>245</v>
      </c>
      <c r="H188" s="37"/>
      <c r="I188" s="37">
        <v>1270000</v>
      </c>
      <c r="J188" s="300">
        <f t="shared" si="8"/>
        <v>96012430</v>
      </c>
    </row>
    <row r="189" spans="1:16">
      <c r="A189" s="35"/>
      <c r="B189" s="41">
        <v>46269</v>
      </c>
      <c r="C189" s="177">
        <v>215</v>
      </c>
      <c r="D189" s="54">
        <v>936</v>
      </c>
      <c r="E189" s="236"/>
      <c r="F189" s="42" t="s">
        <v>250</v>
      </c>
      <c r="G189" s="45" t="s">
        <v>250</v>
      </c>
      <c r="H189" s="37"/>
      <c r="I189" s="37">
        <v>213248</v>
      </c>
      <c r="J189" s="300">
        <f t="shared" si="8"/>
        <v>95799182</v>
      </c>
    </row>
    <row r="190" spans="1:16">
      <c r="A190" s="35"/>
      <c r="B190" s="41">
        <v>46269</v>
      </c>
      <c r="C190" s="54">
        <v>216</v>
      </c>
      <c r="D190" s="54">
        <v>937</v>
      </c>
      <c r="E190" s="236"/>
      <c r="F190" s="42" t="s">
        <v>250</v>
      </c>
      <c r="G190" s="45" t="s">
        <v>722</v>
      </c>
      <c r="H190" s="37"/>
      <c r="I190" s="37">
        <v>142086</v>
      </c>
      <c r="J190" s="300">
        <f t="shared" si="8"/>
        <v>95657096</v>
      </c>
    </row>
    <row r="191" spans="1:16">
      <c r="A191" s="35"/>
      <c r="B191" s="41">
        <v>46269</v>
      </c>
      <c r="C191" s="54">
        <v>217</v>
      </c>
      <c r="D191" s="54" t="s">
        <v>775</v>
      </c>
      <c r="E191" s="40" t="s">
        <v>701</v>
      </c>
      <c r="F191" s="42" t="s">
        <v>250</v>
      </c>
      <c r="G191" s="45" t="s">
        <v>723</v>
      </c>
      <c r="H191" s="37"/>
      <c r="I191" s="37">
        <v>2261000</v>
      </c>
      <c r="J191" s="300">
        <f t="shared" si="8"/>
        <v>93396096</v>
      </c>
    </row>
    <row r="192" spans="1:16">
      <c r="A192" s="35"/>
      <c r="B192" s="41">
        <v>46272</v>
      </c>
      <c r="C192" s="54">
        <v>218</v>
      </c>
      <c r="D192" s="54">
        <v>946</v>
      </c>
      <c r="E192" s="236"/>
      <c r="F192" s="42" t="s">
        <v>242</v>
      </c>
      <c r="G192" s="45" t="s">
        <v>242</v>
      </c>
      <c r="H192" s="37"/>
      <c r="I192" s="37">
        <v>210820</v>
      </c>
      <c r="J192" s="300">
        <f t="shared" si="8"/>
        <v>93185276</v>
      </c>
    </row>
    <row r="193" spans="1:12">
      <c r="A193" s="35"/>
      <c r="B193" s="41">
        <v>46272</v>
      </c>
      <c r="C193" s="54">
        <v>219</v>
      </c>
      <c r="D193" s="54" t="s">
        <v>354</v>
      </c>
      <c r="E193" s="40"/>
      <c r="F193" s="42" t="s">
        <v>730</v>
      </c>
      <c r="G193" s="45" t="s">
        <v>731</v>
      </c>
      <c r="H193" s="37"/>
      <c r="I193" s="37">
        <v>8164000</v>
      </c>
      <c r="J193" s="300">
        <f t="shared" si="8"/>
        <v>85021276</v>
      </c>
    </row>
    <row r="194" spans="1:12">
      <c r="A194" s="35"/>
      <c r="B194" s="41">
        <v>46273</v>
      </c>
      <c r="C194" s="54">
        <v>221</v>
      </c>
      <c r="D194" s="54">
        <v>954</v>
      </c>
      <c r="E194" s="40"/>
      <c r="F194" s="42" t="s">
        <v>250</v>
      </c>
      <c r="G194" s="45" t="s">
        <v>387</v>
      </c>
      <c r="H194" s="37"/>
      <c r="I194" s="37">
        <v>180000</v>
      </c>
      <c r="J194" s="300">
        <f t="shared" si="8"/>
        <v>84841276</v>
      </c>
    </row>
    <row r="195" spans="1:12">
      <c r="A195" s="35"/>
      <c r="B195" s="41">
        <v>46275</v>
      </c>
      <c r="C195" s="54">
        <v>222</v>
      </c>
      <c r="D195" s="54" t="s">
        <v>773</v>
      </c>
      <c r="E195" s="236"/>
      <c r="F195" s="42" t="s">
        <v>733</v>
      </c>
      <c r="G195" s="45" t="s">
        <v>732</v>
      </c>
      <c r="H195" s="37"/>
      <c r="I195" s="37">
        <v>928200</v>
      </c>
      <c r="J195" s="300">
        <f t="shared" si="8"/>
        <v>83913076</v>
      </c>
    </row>
    <row r="196" spans="1:12">
      <c r="A196" s="35" t="s">
        <v>223</v>
      </c>
      <c r="B196" s="41">
        <v>46275</v>
      </c>
      <c r="C196" s="54">
        <v>223</v>
      </c>
      <c r="D196" s="54">
        <v>968</v>
      </c>
      <c r="E196" s="40"/>
      <c r="F196" s="42" t="s">
        <v>250</v>
      </c>
      <c r="G196" s="45" t="s">
        <v>734</v>
      </c>
      <c r="H196" s="37"/>
      <c r="I196" s="37">
        <v>209440</v>
      </c>
      <c r="J196" s="300">
        <f t="shared" si="8"/>
        <v>83703636</v>
      </c>
    </row>
    <row r="197" spans="1:12">
      <c r="A197" s="35"/>
      <c r="B197" s="41">
        <v>46275</v>
      </c>
      <c r="C197" s="54">
        <v>224</v>
      </c>
      <c r="D197" s="54" t="s">
        <v>354</v>
      </c>
      <c r="E197" s="40"/>
      <c r="F197" s="42" t="s">
        <v>242</v>
      </c>
      <c r="G197" s="45" t="s">
        <v>703</v>
      </c>
      <c r="H197" s="37"/>
      <c r="I197" s="37">
        <v>547780</v>
      </c>
      <c r="J197" s="300">
        <f t="shared" si="8"/>
        <v>83155856</v>
      </c>
    </row>
    <row r="198" spans="1:12">
      <c r="A198" s="35"/>
      <c r="B198" s="41">
        <v>46275</v>
      </c>
      <c r="C198" s="54">
        <v>225</v>
      </c>
      <c r="D198" s="54">
        <v>969</v>
      </c>
      <c r="E198" s="236"/>
      <c r="F198" s="42" t="s">
        <v>250</v>
      </c>
      <c r="G198" s="45" t="s">
        <v>508</v>
      </c>
      <c r="H198" s="37"/>
      <c r="I198" s="37">
        <v>214200</v>
      </c>
      <c r="J198" s="300">
        <f t="shared" si="8"/>
        <v>82941656</v>
      </c>
    </row>
    <row r="199" spans="1:12">
      <c r="A199" s="35"/>
      <c r="B199" s="41">
        <v>46286</v>
      </c>
      <c r="C199" s="54">
        <v>41</v>
      </c>
      <c r="D199" s="54" t="s">
        <v>474</v>
      </c>
      <c r="E199" s="40"/>
      <c r="F199" s="42" t="s">
        <v>319</v>
      </c>
      <c r="G199" s="42" t="s">
        <v>584</v>
      </c>
      <c r="H199" s="37"/>
      <c r="I199" s="37">
        <v>747416</v>
      </c>
      <c r="J199" s="300">
        <f t="shared" si="8"/>
        <v>82194240</v>
      </c>
      <c r="L199" s="104"/>
    </row>
    <row r="200" spans="1:12">
      <c r="A200" s="35"/>
      <c r="B200" s="41">
        <v>46286</v>
      </c>
      <c r="C200" s="54">
        <v>2</v>
      </c>
      <c r="D200" s="54" t="s">
        <v>391</v>
      </c>
      <c r="E200" s="40"/>
      <c r="F200" s="42" t="s">
        <v>319</v>
      </c>
      <c r="G200" s="42" t="s">
        <v>584</v>
      </c>
      <c r="H200" s="37"/>
      <c r="I200" s="37">
        <v>369211</v>
      </c>
      <c r="J200" s="300">
        <f t="shared" si="8"/>
        <v>81825029</v>
      </c>
    </row>
    <row r="201" spans="1:12">
      <c r="A201" s="35"/>
      <c r="B201" s="41">
        <v>46287</v>
      </c>
      <c r="C201" s="54">
        <v>227</v>
      </c>
      <c r="D201" s="54" t="s">
        <v>354</v>
      </c>
      <c r="E201" s="40"/>
      <c r="F201" s="42" t="s">
        <v>250</v>
      </c>
      <c r="G201" s="45" t="s">
        <v>761</v>
      </c>
      <c r="H201" s="37"/>
      <c r="I201" s="37">
        <v>799525</v>
      </c>
      <c r="J201" s="300">
        <f t="shared" si="8"/>
        <v>81025504</v>
      </c>
    </row>
    <row r="202" spans="1:12">
      <c r="A202" s="35"/>
      <c r="B202" s="41">
        <v>46288</v>
      </c>
      <c r="C202" s="54">
        <v>228</v>
      </c>
      <c r="D202" s="54" t="s">
        <v>354</v>
      </c>
      <c r="E202" s="40"/>
      <c r="F202" s="42" t="s">
        <v>250</v>
      </c>
      <c r="G202" s="45" t="s">
        <v>761</v>
      </c>
      <c r="H202" s="37"/>
      <c r="I202" s="37">
        <v>2588151</v>
      </c>
      <c r="J202" s="300">
        <f t="shared" si="8"/>
        <v>78437353</v>
      </c>
    </row>
    <row r="203" spans="1:12">
      <c r="A203" s="35"/>
      <c r="B203" s="41">
        <v>46289</v>
      </c>
      <c r="C203" s="54">
        <v>230</v>
      </c>
      <c r="D203" s="54">
        <v>1006</v>
      </c>
      <c r="E203" s="236"/>
      <c r="F203" s="42" t="s">
        <v>242</v>
      </c>
      <c r="G203" s="45" t="s">
        <v>242</v>
      </c>
      <c r="H203" s="37"/>
      <c r="I203" s="37">
        <v>205768</v>
      </c>
      <c r="J203" s="300">
        <f t="shared" si="8"/>
        <v>78231585</v>
      </c>
    </row>
    <row r="204" spans="1:12">
      <c r="A204" s="35"/>
      <c r="B204" s="41">
        <v>46289</v>
      </c>
      <c r="C204" s="54">
        <v>232</v>
      </c>
      <c r="D204" s="54">
        <v>1007</v>
      </c>
      <c r="E204" s="236"/>
      <c r="F204" s="42" t="s">
        <v>250</v>
      </c>
      <c r="G204" s="45" t="s">
        <v>713</v>
      </c>
      <c r="H204" s="37"/>
      <c r="I204" s="37">
        <v>212450</v>
      </c>
      <c r="J204" s="300">
        <f t="shared" si="8"/>
        <v>78019135</v>
      </c>
    </row>
    <row r="205" spans="1:12">
      <c r="A205" s="35"/>
      <c r="B205" s="41">
        <v>46293</v>
      </c>
      <c r="C205" s="54">
        <v>229</v>
      </c>
      <c r="D205" s="54">
        <v>1029</v>
      </c>
      <c r="E205" s="236"/>
      <c r="F205" s="42" t="s">
        <v>242</v>
      </c>
      <c r="G205" s="45" t="s">
        <v>242</v>
      </c>
      <c r="H205" s="37"/>
      <c r="I205" s="37">
        <v>210820</v>
      </c>
      <c r="J205" s="300">
        <f t="shared" si="8"/>
        <v>77808315</v>
      </c>
    </row>
    <row r="206" spans="1:12">
      <c r="A206" s="35"/>
      <c r="B206" s="41">
        <v>46295</v>
      </c>
      <c r="C206" s="54">
        <v>233</v>
      </c>
      <c r="D206" s="54">
        <v>1048</v>
      </c>
      <c r="E206" s="236"/>
      <c r="F206" s="42" t="s">
        <v>250</v>
      </c>
      <c r="G206" s="45" t="s">
        <v>782</v>
      </c>
      <c r="H206" s="37"/>
      <c r="I206" s="37">
        <v>85680</v>
      </c>
      <c r="J206" s="300">
        <f t="shared" si="8"/>
        <v>77722635</v>
      </c>
    </row>
    <row r="207" spans="1:12">
      <c r="A207" s="35"/>
      <c r="B207" s="41">
        <v>46293</v>
      </c>
      <c r="C207" s="54">
        <v>234</v>
      </c>
      <c r="D207" s="54" t="s">
        <v>354</v>
      </c>
      <c r="E207" s="40"/>
      <c r="F207" s="42" t="s">
        <v>328</v>
      </c>
      <c r="G207" s="45" t="s">
        <v>783</v>
      </c>
      <c r="H207" s="37"/>
      <c r="I207" s="37">
        <v>1340000</v>
      </c>
      <c r="J207" s="300">
        <f t="shared" si="8"/>
        <v>76382635</v>
      </c>
    </row>
    <row r="208" spans="1:12">
      <c r="A208" s="35"/>
      <c r="B208" s="41">
        <v>46295</v>
      </c>
      <c r="C208" s="54">
        <v>235</v>
      </c>
      <c r="D208" s="54" t="s">
        <v>354</v>
      </c>
      <c r="E208" s="40"/>
      <c r="F208" s="42" t="s">
        <v>270</v>
      </c>
      <c r="G208" s="45" t="s">
        <v>519</v>
      </c>
      <c r="H208" s="37"/>
      <c r="I208" s="37">
        <v>948230</v>
      </c>
      <c r="J208" s="300">
        <f t="shared" si="8"/>
        <v>75434405</v>
      </c>
    </row>
    <row r="209" spans="1:16">
      <c r="A209" s="35"/>
      <c r="B209" s="41">
        <v>46295</v>
      </c>
      <c r="C209" s="54">
        <v>238</v>
      </c>
      <c r="D209" s="54" t="s">
        <v>354</v>
      </c>
      <c r="E209" s="40"/>
      <c r="F209" s="42" t="s">
        <v>250</v>
      </c>
      <c r="G209" s="45" t="s">
        <v>784</v>
      </c>
      <c r="H209" s="37"/>
      <c r="I209" s="37">
        <v>3960000</v>
      </c>
      <c r="J209" s="300">
        <f t="shared" si="8"/>
        <v>71474405</v>
      </c>
    </row>
    <row r="210" spans="1:16">
      <c r="A210" s="35"/>
      <c r="B210" s="41"/>
      <c r="C210" s="54"/>
      <c r="D210" s="54"/>
      <c r="E210" s="40"/>
      <c r="F210" s="42"/>
      <c r="G210" s="45"/>
      <c r="H210" s="37"/>
      <c r="I210" s="37"/>
      <c r="J210" s="300">
        <f t="shared" si="8"/>
        <v>71474405</v>
      </c>
    </row>
    <row r="211" spans="1:16">
      <c r="A211" s="35"/>
      <c r="B211" s="41"/>
      <c r="C211" s="54"/>
      <c r="D211" s="54"/>
      <c r="E211" s="40"/>
      <c r="F211" s="42"/>
      <c r="G211" s="45"/>
      <c r="H211" s="37"/>
      <c r="I211" s="37"/>
      <c r="J211" s="300">
        <f t="shared" si="8"/>
        <v>71474405</v>
      </c>
    </row>
    <row r="212" spans="1:16">
      <c r="A212" s="35"/>
      <c r="B212" s="320" t="s">
        <v>132</v>
      </c>
      <c r="C212" s="321"/>
      <c r="D212" s="321"/>
      <c r="E212" s="321"/>
      <c r="F212" s="321"/>
      <c r="G212" s="321"/>
      <c r="H212" s="321"/>
      <c r="I212" s="321"/>
      <c r="J212" s="322"/>
    </row>
    <row r="213" spans="1:16">
      <c r="A213" s="35"/>
      <c r="B213" s="53"/>
      <c r="C213" s="54"/>
      <c r="D213" s="54"/>
      <c r="E213" s="54"/>
      <c r="F213" s="42" t="s">
        <v>171</v>
      </c>
      <c r="G213" s="42" t="s">
        <v>171</v>
      </c>
      <c r="H213" s="37">
        <f>SUBVENCION!U25+SUBVENCION!V25</f>
        <v>0</v>
      </c>
      <c r="I213" s="37"/>
      <c r="J213" s="300">
        <f>+J211+H213-I213</f>
        <v>71474405</v>
      </c>
      <c r="L213" s="97" t="s">
        <v>5</v>
      </c>
      <c r="M213" s="36" t="s">
        <v>214</v>
      </c>
      <c r="N213" s="97" t="s">
        <v>212</v>
      </c>
      <c r="O213" s="97" t="s">
        <v>213</v>
      </c>
      <c r="P213" s="97" t="s">
        <v>7</v>
      </c>
    </row>
    <row r="214" spans="1:16">
      <c r="A214" s="35"/>
      <c r="B214" s="53"/>
      <c r="C214" s="54"/>
      <c r="D214" s="54"/>
      <c r="E214" s="54"/>
      <c r="F214" s="42" t="s">
        <v>199</v>
      </c>
      <c r="G214" s="42" t="s">
        <v>199</v>
      </c>
      <c r="H214" s="37"/>
      <c r="I214" s="37"/>
      <c r="J214" s="300">
        <f>+J213+H214-I214</f>
        <v>71474405</v>
      </c>
      <c r="L214" s="115">
        <f>H213</f>
        <v>0</v>
      </c>
      <c r="M214" s="101">
        <f>L214*10%</f>
        <v>0</v>
      </c>
      <c r="N214" s="115">
        <f>I214</f>
        <v>0</v>
      </c>
      <c r="O214" s="115">
        <f>SUM(I215:I261)</f>
        <v>0</v>
      </c>
      <c r="P214" s="115">
        <f>L214-M214-N214-O214</f>
        <v>0</v>
      </c>
    </row>
    <row r="215" spans="1:16">
      <c r="A215" s="35"/>
      <c r="B215" s="53"/>
      <c r="C215" s="54"/>
      <c r="D215" s="54"/>
      <c r="E215" s="40"/>
      <c r="F215" s="42"/>
      <c r="G215" s="45"/>
      <c r="H215" s="37"/>
      <c r="I215" s="37"/>
      <c r="J215" s="300">
        <f t="shared" ref="J215:J263" si="9">+J214+H215-I215</f>
        <v>71474405</v>
      </c>
    </row>
    <row r="216" spans="1:16">
      <c r="A216" s="35"/>
      <c r="B216" s="53"/>
      <c r="C216" s="54"/>
      <c r="D216" s="54"/>
      <c r="E216" s="40"/>
      <c r="F216" s="42"/>
      <c r="G216" s="45"/>
      <c r="H216" s="37"/>
      <c r="I216" s="37"/>
      <c r="J216" s="300">
        <f t="shared" si="9"/>
        <v>71474405</v>
      </c>
    </row>
    <row r="217" spans="1:16">
      <c r="A217" s="35"/>
      <c r="B217" s="53"/>
      <c r="C217" s="54"/>
      <c r="D217" s="54"/>
      <c r="E217" s="40"/>
      <c r="F217" s="42"/>
      <c r="G217" s="45"/>
      <c r="H217" s="37"/>
      <c r="I217" s="37"/>
      <c r="J217" s="300">
        <f t="shared" si="9"/>
        <v>71474405</v>
      </c>
    </row>
    <row r="218" spans="1:16">
      <c r="A218" s="35"/>
      <c r="B218" s="53"/>
      <c r="C218" s="54"/>
      <c r="D218" s="54"/>
      <c r="E218" s="40"/>
      <c r="F218" s="42"/>
      <c r="G218" s="42"/>
      <c r="H218" s="37"/>
      <c r="I218" s="37"/>
      <c r="J218" s="300">
        <f t="shared" si="9"/>
        <v>71474405</v>
      </c>
    </row>
    <row r="219" spans="1:16">
      <c r="A219" s="35"/>
      <c r="B219" s="53"/>
      <c r="C219" s="54"/>
      <c r="D219" s="54"/>
      <c r="E219" s="40"/>
      <c r="F219" s="45"/>
      <c r="G219" s="42"/>
      <c r="H219" s="37"/>
      <c r="I219" s="37"/>
      <c r="J219" s="300">
        <f t="shared" si="9"/>
        <v>71474405</v>
      </c>
    </row>
    <row r="220" spans="1:16">
      <c r="A220" s="35"/>
      <c r="B220" s="53"/>
      <c r="C220" s="54"/>
      <c r="D220" s="54"/>
      <c r="E220" s="40"/>
      <c r="F220" s="45"/>
      <c r="G220" s="45"/>
      <c r="H220" s="37"/>
      <c r="I220" s="37"/>
      <c r="J220" s="300">
        <f t="shared" si="9"/>
        <v>71474405</v>
      </c>
    </row>
    <row r="221" spans="1:16">
      <c r="A221" s="35"/>
      <c r="B221" s="53"/>
      <c r="C221" s="54"/>
      <c r="D221" s="54"/>
      <c r="E221" s="40"/>
      <c r="F221" s="42"/>
      <c r="G221" s="45"/>
      <c r="H221" s="37"/>
      <c r="I221" s="37"/>
      <c r="J221" s="300">
        <f t="shared" si="9"/>
        <v>71474405</v>
      </c>
    </row>
    <row r="222" spans="1:16">
      <c r="A222" s="35"/>
      <c r="B222" s="53"/>
      <c r="C222" s="54"/>
      <c r="D222" s="54"/>
      <c r="E222" s="40"/>
      <c r="F222" s="42"/>
      <c r="G222" s="45"/>
      <c r="H222" s="37"/>
      <c r="I222" s="37"/>
      <c r="J222" s="300">
        <f t="shared" si="9"/>
        <v>71474405</v>
      </c>
    </row>
    <row r="223" spans="1:16">
      <c r="A223" s="35"/>
      <c r="B223" s="53"/>
      <c r="C223" s="127"/>
      <c r="D223" s="54"/>
      <c r="E223" s="224"/>
      <c r="F223" s="127"/>
      <c r="G223" s="127"/>
      <c r="H223" s="205"/>
      <c r="I223" s="298"/>
      <c r="J223" s="300">
        <f t="shared" si="9"/>
        <v>71474405</v>
      </c>
    </row>
    <row r="224" spans="1:16" s="39" customFormat="1">
      <c r="A224" s="35"/>
      <c r="B224" s="53"/>
      <c r="C224" s="54"/>
      <c r="D224" s="54"/>
      <c r="E224" s="40"/>
      <c r="F224" s="205"/>
      <c r="G224" s="205"/>
      <c r="H224" s="37"/>
      <c r="I224" s="37"/>
      <c r="J224" s="300">
        <f t="shared" si="9"/>
        <v>71474405</v>
      </c>
      <c r="M224" s="80"/>
    </row>
    <row r="225" spans="1:10">
      <c r="A225" s="35"/>
      <c r="B225" s="53"/>
      <c r="C225" s="54"/>
      <c r="D225" s="54"/>
      <c r="E225" s="40"/>
      <c r="F225" s="42"/>
      <c r="G225" s="45"/>
      <c r="H225" s="37"/>
      <c r="I225" s="37"/>
      <c r="J225" s="300">
        <f t="shared" si="9"/>
        <v>71474405</v>
      </c>
    </row>
    <row r="226" spans="1:10">
      <c r="A226" s="35"/>
      <c r="B226" s="53"/>
      <c r="C226" s="54"/>
      <c r="D226" s="54"/>
      <c r="E226" s="40"/>
      <c r="F226" s="42"/>
      <c r="G226" s="45"/>
      <c r="H226" s="37"/>
      <c r="I226" s="37"/>
      <c r="J226" s="300">
        <f t="shared" si="9"/>
        <v>71474405</v>
      </c>
    </row>
    <row r="227" spans="1:10">
      <c r="A227" s="35"/>
      <c r="B227" s="53"/>
      <c r="C227" s="54"/>
      <c r="D227" s="54"/>
      <c r="E227" s="40"/>
      <c r="F227" s="42"/>
      <c r="G227" s="45"/>
      <c r="H227" s="37"/>
      <c r="I227" s="37"/>
      <c r="J227" s="300">
        <f t="shared" si="9"/>
        <v>71474405</v>
      </c>
    </row>
    <row r="228" spans="1:10">
      <c r="A228" s="35"/>
      <c r="B228" s="53"/>
      <c r="C228" s="54"/>
      <c r="D228" s="54"/>
      <c r="E228" s="40"/>
      <c r="F228" s="42"/>
      <c r="G228" s="45"/>
      <c r="H228" s="37"/>
      <c r="I228" s="37"/>
      <c r="J228" s="300">
        <f t="shared" si="9"/>
        <v>71474405</v>
      </c>
    </row>
    <row r="229" spans="1:10">
      <c r="A229" s="35"/>
      <c r="B229" s="53"/>
      <c r="C229" s="54"/>
      <c r="D229" s="54"/>
      <c r="E229" s="40"/>
      <c r="F229" s="42"/>
      <c r="G229" s="45"/>
      <c r="H229" s="37"/>
      <c r="I229" s="37"/>
      <c r="J229" s="300">
        <f t="shared" si="9"/>
        <v>71474405</v>
      </c>
    </row>
    <row r="230" spans="1:10">
      <c r="A230" s="35"/>
      <c r="B230" s="53"/>
      <c r="C230" s="54"/>
      <c r="D230" s="54"/>
      <c r="E230" s="40"/>
      <c r="F230" s="42"/>
      <c r="G230" s="45"/>
      <c r="H230" s="37"/>
      <c r="I230" s="37"/>
      <c r="J230" s="300">
        <f t="shared" si="9"/>
        <v>71474405</v>
      </c>
    </row>
    <row r="231" spans="1:10">
      <c r="A231" s="35"/>
      <c r="B231" s="53"/>
      <c r="C231" s="54"/>
      <c r="D231" s="54"/>
      <c r="E231" s="40"/>
      <c r="F231" s="42"/>
      <c r="G231" s="45"/>
      <c r="H231" s="37"/>
      <c r="I231" s="37"/>
      <c r="J231" s="300">
        <f t="shared" si="9"/>
        <v>71474405</v>
      </c>
    </row>
    <row r="232" spans="1:10">
      <c r="A232" s="35"/>
      <c r="B232" s="53"/>
      <c r="C232" s="54"/>
      <c r="D232" s="54"/>
      <c r="E232" s="40"/>
      <c r="F232" s="42"/>
      <c r="G232" s="45"/>
      <c r="H232" s="37"/>
      <c r="I232" s="37"/>
      <c r="J232" s="300">
        <f t="shared" si="9"/>
        <v>71474405</v>
      </c>
    </row>
    <row r="233" spans="1:10">
      <c r="A233" s="35"/>
      <c r="B233" s="53"/>
      <c r="C233" s="54"/>
      <c r="D233" s="54"/>
      <c r="E233" s="40"/>
      <c r="F233" s="42"/>
      <c r="G233" s="45"/>
      <c r="H233" s="37"/>
      <c r="I233" s="37"/>
      <c r="J233" s="300">
        <f t="shared" si="9"/>
        <v>71474405</v>
      </c>
    </row>
    <row r="234" spans="1:10">
      <c r="A234" s="35"/>
      <c r="B234" s="53"/>
      <c r="C234" s="54"/>
      <c r="D234" s="54"/>
      <c r="E234" s="40"/>
      <c r="F234" s="42"/>
      <c r="G234" s="45"/>
      <c r="H234" s="37"/>
      <c r="I234" s="37"/>
      <c r="J234" s="300">
        <f t="shared" si="9"/>
        <v>71474405</v>
      </c>
    </row>
    <row r="235" spans="1:10">
      <c r="A235" s="35"/>
      <c r="B235" s="53"/>
      <c r="C235" s="54"/>
      <c r="D235" s="54"/>
      <c r="E235" s="40"/>
      <c r="F235" s="42"/>
      <c r="G235" s="45"/>
      <c r="H235" s="37"/>
      <c r="I235" s="37"/>
      <c r="J235" s="300">
        <f t="shared" si="9"/>
        <v>71474405</v>
      </c>
    </row>
    <row r="236" spans="1:10">
      <c r="A236" s="35"/>
      <c r="B236" s="53"/>
      <c r="C236" s="54"/>
      <c r="D236" s="54"/>
      <c r="E236" s="40"/>
      <c r="F236" s="42"/>
      <c r="G236" s="45"/>
      <c r="H236" s="37"/>
      <c r="I236" s="37"/>
      <c r="J236" s="300">
        <f t="shared" si="9"/>
        <v>71474405</v>
      </c>
    </row>
    <row r="237" spans="1:10">
      <c r="A237" s="35"/>
      <c r="B237" s="53"/>
      <c r="C237" s="54"/>
      <c r="D237" s="54"/>
      <c r="E237" s="40"/>
      <c r="F237" s="42"/>
      <c r="G237" s="45"/>
      <c r="H237" s="37"/>
      <c r="I237" s="37"/>
      <c r="J237" s="300">
        <f t="shared" si="9"/>
        <v>71474405</v>
      </c>
    </row>
    <row r="238" spans="1:10">
      <c r="A238" s="35"/>
      <c r="B238" s="53"/>
      <c r="C238" s="54"/>
      <c r="D238" s="54"/>
      <c r="E238" s="40"/>
      <c r="F238" s="42"/>
      <c r="G238" s="45"/>
      <c r="H238" s="37"/>
      <c r="I238" s="37"/>
      <c r="J238" s="300">
        <f t="shared" si="9"/>
        <v>71474405</v>
      </c>
    </row>
    <row r="239" spans="1:10">
      <c r="A239" s="35"/>
      <c r="B239" s="53"/>
      <c r="C239" s="54"/>
      <c r="D239" s="54"/>
      <c r="E239" s="40"/>
      <c r="F239" s="42"/>
      <c r="G239" s="45"/>
      <c r="H239" s="37"/>
      <c r="I239" s="37"/>
      <c r="J239" s="300">
        <f t="shared" si="9"/>
        <v>71474405</v>
      </c>
    </row>
    <row r="240" spans="1:10">
      <c r="A240" s="35"/>
      <c r="B240" s="53"/>
      <c r="C240" s="54"/>
      <c r="D240" s="54"/>
      <c r="E240" s="40"/>
      <c r="F240" s="42"/>
      <c r="G240" s="45"/>
      <c r="H240" s="37"/>
      <c r="I240" s="37"/>
      <c r="J240" s="300">
        <f t="shared" si="9"/>
        <v>71474405</v>
      </c>
    </row>
    <row r="241" spans="1:10">
      <c r="A241" s="35"/>
      <c r="B241" s="53"/>
      <c r="C241" s="54"/>
      <c r="D241" s="54"/>
      <c r="E241" s="40"/>
      <c r="F241" s="42"/>
      <c r="G241" s="45"/>
      <c r="H241" s="37"/>
      <c r="I241" s="37"/>
      <c r="J241" s="300">
        <f t="shared" si="9"/>
        <v>71474405</v>
      </c>
    </row>
    <row r="242" spans="1:10">
      <c r="A242" s="35"/>
      <c r="B242" s="53"/>
      <c r="C242" s="54"/>
      <c r="D242" s="54"/>
      <c r="E242" s="40"/>
      <c r="F242" s="42"/>
      <c r="G242" s="45"/>
      <c r="H242" s="37"/>
      <c r="I242" s="37"/>
      <c r="J242" s="300">
        <f t="shared" si="9"/>
        <v>71474405</v>
      </c>
    </row>
    <row r="243" spans="1:10">
      <c r="A243" s="35"/>
      <c r="B243" s="53"/>
      <c r="C243" s="54"/>
      <c r="D243" s="54"/>
      <c r="E243" s="40"/>
      <c r="F243" s="42"/>
      <c r="G243" s="45"/>
      <c r="H243" s="37"/>
      <c r="I243" s="37"/>
      <c r="J243" s="300">
        <f t="shared" si="9"/>
        <v>71474405</v>
      </c>
    </row>
    <row r="244" spans="1:10">
      <c r="A244" s="35"/>
      <c r="B244" s="53"/>
      <c r="C244" s="54"/>
      <c r="D244" s="54"/>
      <c r="E244" s="40"/>
      <c r="F244" s="42"/>
      <c r="G244" s="45"/>
      <c r="H244" s="37"/>
      <c r="I244" s="37"/>
      <c r="J244" s="300">
        <f t="shared" si="9"/>
        <v>71474405</v>
      </c>
    </row>
    <row r="245" spans="1:10">
      <c r="A245" s="35"/>
      <c r="B245" s="53"/>
      <c r="C245" s="54"/>
      <c r="D245" s="54"/>
      <c r="E245" s="40"/>
      <c r="F245" s="42"/>
      <c r="G245" s="45"/>
      <c r="H245" s="37"/>
      <c r="I245" s="37"/>
      <c r="J245" s="300">
        <f t="shared" si="9"/>
        <v>71474405</v>
      </c>
    </row>
    <row r="246" spans="1:10">
      <c r="A246" s="35"/>
      <c r="B246" s="53"/>
      <c r="C246" s="54"/>
      <c r="D246" s="54"/>
      <c r="E246" s="40"/>
      <c r="F246" s="45"/>
      <c r="G246" s="45"/>
      <c r="H246" s="37"/>
      <c r="I246" s="37"/>
      <c r="J246" s="300">
        <f t="shared" si="9"/>
        <v>71474405</v>
      </c>
    </row>
    <row r="247" spans="1:10">
      <c r="A247" s="35"/>
      <c r="B247" s="53"/>
      <c r="C247" s="54"/>
      <c r="D247" s="54"/>
      <c r="E247" s="40"/>
      <c r="F247" s="42"/>
      <c r="G247" s="45"/>
      <c r="H247" s="37"/>
      <c r="I247" s="37"/>
      <c r="J247" s="300">
        <f t="shared" si="9"/>
        <v>71474405</v>
      </c>
    </row>
    <row r="248" spans="1:10">
      <c r="A248" s="35"/>
      <c r="B248" s="53"/>
      <c r="C248" s="54"/>
      <c r="D248" s="54"/>
      <c r="E248" s="40"/>
      <c r="F248" s="42"/>
      <c r="G248" s="45"/>
      <c r="H248" s="37"/>
      <c r="I248" s="37"/>
      <c r="J248" s="300">
        <f t="shared" si="9"/>
        <v>71474405</v>
      </c>
    </row>
    <row r="249" spans="1:10">
      <c r="A249" s="35"/>
      <c r="B249" s="53"/>
      <c r="C249" s="54"/>
      <c r="D249" s="54"/>
      <c r="E249" s="40"/>
      <c r="F249" s="42"/>
      <c r="G249" s="45"/>
      <c r="H249" s="37"/>
      <c r="I249" s="37"/>
      <c r="J249" s="300">
        <f t="shared" si="9"/>
        <v>71474405</v>
      </c>
    </row>
    <row r="250" spans="1:10">
      <c r="A250" s="35"/>
      <c r="B250" s="53"/>
      <c r="C250" s="54"/>
      <c r="D250" s="54"/>
      <c r="E250" s="40"/>
      <c r="F250" s="42"/>
      <c r="G250" s="45"/>
      <c r="H250" s="37"/>
      <c r="I250" s="37"/>
      <c r="J250" s="300">
        <f t="shared" si="9"/>
        <v>71474405</v>
      </c>
    </row>
    <row r="251" spans="1:10">
      <c r="A251" s="35"/>
      <c r="B251" s="53"/>
      <c r="C251" s="54"/>
      <c r="D251" s="54"/>
      <c r="E251" s="40"/>
      <c r="F251" s="42"/>
      <c r="G251" s="45"/>
      <c r="H251" s="37"/>
      <c r="I251" s="37"/>
      <c r="J251" s="300">
        <f t="shared" si="9"/>
        <v>71474405</v>
      </c>
    </row>
    <row r="252" spans="1:10">
      <c r="A252" s="35"/>
      <c r="B252" s="53"/>
      <c r="C252" s="54"/>
      <c r="D252" s="54"/>
      <c r="E252" s="40"/>
      <c r="F252" s="42"/>
      <c r="G252" s="45"/>
      <c r="H252" s="37"/>
      <c r="I252" s="37"/>
      <c r="J252" s="300">
        <f t="shared" si="9"/>
        <v>71474405</v>
      </c>
    </row>
    <row r="253" spans="1:10">
      <c r="A253" s="35"/>
      <c r="B253" s="53"/>
      <c r="C253" s="54"/>
      <c r="D253" s="54"/>
      <c r="E253" s="40"/>
      <c r="F253" s="42"/>
      <c r="G253" s="45"/>
      <c r="H253" s="37"/>
      <c r="I253" s="37"/>
      <c r="J253" s="300">
        <f t="shared" si="9"/>
        <v>71474405</v>
      </c>
    </row>
    <row r="254" spans="1:10">
      <c r="A254" s="35"/>
      <c r="B254" s="53"/>
      <c r="C254" s="54"/>
      <c r="D254" s="54"/>
      <c r="E254" s="40"/>
      <c r="F254" s="205"/>
      <c r="G254" s="205"/>
      <c r="H254" s="37"/>
      <c r="I254" s="37"/>
      <c r="J254" s="300">
        <f t="shared" si="9"/>
        <v>71474405</v>
      </c>
    </row>
    <row r="255" spans="1:10">
      <c r="A255" s="35"/>
      <c r="B255" s="53"/>
      <c r="C255" s="54"/>
      <c r="D255" s="54"/>
      <c r="E255" s="40"/>
      <c r="F255" s="42"/>
      <c r="G255" s="45"/>
      <c r="H255" s="37"/>
      <c r="I255" s="37"/>
      <c r="J255" s="300">
        <f t="shared" si="9"/>
        <v>71474405</v>
      </c>
    </row>
    <row r="256" spans="1:10">
      <c r="A256" s="35"/>
      <c r="B256" s="53"/>
      <c r="C256" s="54"/>
      <c r="D256" s="54"/>
      <c r="E256" s="40"/>
      <c r="F256" s="42"/>
      <c r="G256" s="205"/>
      <c r="H256" s="37"/>
      <c r="I256" s="37"/>
      <c r="J256" s="300">
        <f t="shared" si="9"/>
        <v>71474405</v>
      </c>
    </row>
    <row r="257" spans="1:16">
      <c r="A257" s="35"/>
      <c r="B257" s="53"/>
      <c r="C257" s="54"/>
      <c r="D257" s="54"/>
      <c r="E257" s="40"/>
      <c r="F257" s="42"/>
      <c r="G257" s="45"/>
      <c r="H257" s="37"/>
      <c r="I257" s="37"/>
      <c r="J257" s="300">
        <f t="shared" si="9"/>
        <v>71474405</v>
      </c>
    </row>
    <row r="258" spans="1:16">
      <c r="A258" s="35"/>
      <c r="B258" s="53"/>
      <c r="C258" s="54"/>
      <c r="D258" s="54"/>
      <c r="E258" s="40"/>
      <c r="F258" s="42"/>
      <c r="G258" s="45"/>
      <c r="H258" s="37"/>
      <c r="I258" s="37"/>
      <c r="J258" s="300">
        <f t="shared" si="9"/>
        <v>71474405</v>
      </c>
    </row>
    <row r="259" spans="1:16">
      <c r="A259" s="35"/>
      <c r="B259" s="53"/>
      <c r="C259" s="54"/>
      <c r="D259" s="54"/>
      <c r="E259" s="40"/>
      <c r="F259" s="205"/>
      <c r="G259" s="205"/>
      <c r="H259" s="37"/>
      <c r="I259" s="37"/>
      <c r="J259" s="300">
        <f t="shared" si="9"/>
        <v>71474405</v>
      </c>
    </row>
    <row r="260" spans="1:16">
      <c r="A260" s="35"/>
      <c r="B260" s="53"/>
      <c r="C260" s="54"/>
      <c r="D260" s="54"/>
      <c r="E260" s="40"/>
      <c r="F260" s="42"/>
      <c r="G260" s="45"/>
      <c r="H260" s="37"/>
      <c r="I260" s="37"/>
      <c r="J260" s="300">
        <f t="shared" si="9"/>
        <v>71474405</v>
      </c>
    </row>
    <row r="261" spans="1:16">
      <c r="A261" s="35"/>
      <c r="B261" s="53"/>
      <c r="C261" s="54"/>
      <c r="D261" s="54"/>
      <c r="E261" s="40"/>
      <c r="F261" s="42"/>
      <c r="G261" s="45"/>
      <c r="H261" s="37"/>
      <c r="I261" s="37"/>
      <c r="J261" s="300">
        <f>+J260+H261-I261</f>
        <v>71474405</v>
      </c>
    </row>
    <row r="262" spans="1:16">
      <c r="A262" s="35"/>
      <c r="B262" s="53"/>
      <c r="C262" s="54"/>
      <c r="D262" s="54"/>
      <c r="E262" s="40"/>
      <c r="F262" s="42"/>
      <c r="G262" s="205"/>
      <c r="H262" s="37"/>
      <c r="I262" s="37"/>
      <c r="J262" s="300">
        <f t="shared" si="9"/>
        <v>71474405</v>
      </c>
    </row>
    <row r="263" spans="1:16">
      <c r="A263" s="35"/>
      <c r="B263" s="47"/>
      <c r="C263" s="54"/>
      <c r="D263" s="40"/>
      <c r="E263" s="40"/>
      <c r="F263" s="42"/>
      <c r="G263" s="45"/>
      <c r="H263" s="37"/>
      <c r="I263" s="37"/>
      <c r="J263" s="300">
        <f t="shared" si="9"/>
        <v>71474405</v>
      </c>
    </row>
    <row r="264" spans="1:16">
      <c r="A264" s="35"/>
      <c r="B264" s="53"/>
      <c r="C264" s="54"/>
      <c r="D264" s="54"/>
      <c r="E264" s="40"/>
      <c r="F264" s="42"/>
      <c r="G264" s="205"/>
      <c r="H264" s="37"/>
      <c r="I264" s="37"/>
      <c r="J264" s="216"/>
    </row>
    <row r="265" spans="1:16">
      <c r="A265" s="35"/>
      <c r="B265" s="320" t="s">
        <v>133</v>
      </c>
      <c r="C265" s="321"/>
      <c r="D265" s="321"/>
      <c r="E265" s="321"/>
      <c r="F265" s="321"/>
      <c r="G265" s="321"/>
      <c r="H265" s="321"/>
      <c r="I265" s="321"/>
      <c r="J265" s="322"/>
    </row>
    <row r="266" spans="1:16">
      <c r="A266" s="35"/>
      <c r="B266" s="46"/>
      <c r="C266" s="46"/>
      <c r="D266" s="46"/>
      <c r="E266" s="46"/>
      <c r="F266" s="42" t="s">
        <v>171</v>
      </c>
      <c r="G266" s="42" t="s">
        <v>171</v>
      </c>
      <c r="H266" s="112">
        <f>SUBVENCION!W25+SUBVENCION!X25</f>
        <v>0</v>
      </c>
      <c r="I266" s="112"/>
      <c r="J266" s="300">
        <f>J263+H266-I266</f>
        <v>71474405</v>
      </c>
      <c r="L266" s="97" t="s">
        <v>5</v>
      </c>
      <c r="M266" s="36" t="s">
        <v>214</v>
      </c>
      <c r="N266" s="97" t="s">
        <v>212</v>
      </c>
      <c r="O266" s="97" t="s">
        <v>213</v>
      </c>
      <c r="P266" s="97" t="s">
        <v>7</v>
      </c>
    </row>
    <row r="267" spans="1:16">
      <c r="A267" s="35"/>
      <c r="B267" s="46"/>
      <c r="C267" s="46"/>
      <c r="D267" s="46"/>
      <c r="E267" s="46"/>
      <c r="F267" s="42" t="s">
        <v>199</v>
      </c>
      <c r="G267" s="42" t="s">
        <v>199</v>
      </c>
      <c r="H267" s="112"/>
      <c r="I267" s="37"/>
      <c r="J267" s="300">
        <f>J266+H267-I267</f>
        <v>71474405</v>
      </c>
      <c r="L267" s="115">
        <f>H266</f>
        <v>0</v>
      </c>
      <c r="M267" s="101">
        <f>L267*10%</f>
        <v>0</v>
      </c>
      <c r="N267" s="115">
        <f>I267</f>
        <v>0</v>
      </c>
      <c r="O267" s="115"/>
      <c r="P267" s="115">
        <f>L267-M267-N267-O267</f>
        <v>0</v>
      </c>
    </row>
    <row r="268" spans="1:16">
      <c r="A268" s="35"/>
      <c r="B268" s="53"/>
      <c r="C268" s="54"/>
      <c r="D268" s="54"/>
      <c r="E268" s="40"/>
      <c r="F268" s="42"/>
      <c r="G268" s="45"/>
      <c r="H268" s="51"/>
      <c r="I268" s="51"/>
      <c r="J268" s="300">
        <f>J267+H268-I268</f>
        <v>71474405</v>
      </c>
    </row>
    <row r="269" spans="1:16">
      <c r="A269" s="35"/>
      <c r="B269" s="47"/>
      <c r="C269" s="40"/>
      <c r="D269" s="40"/>
      <c r="E269" s="40"/>
      <c r="F269" s="42"/>
      <c r="G269" s="45"/>
      <c r="H269" s="37"/>
      <c r="I269" s="37"/>
      <c r="J269" s="300">
        <f t="shared" ref="J269:J282" si="10">J268+H269-I269</f>
        <v>71474405</v>
      </c>
    </row>
    <row r="270" spans="1:16">
      <c r="A270" s="35"/>
      <c r="B270" s="47"/>
      <c r="C270" s="40"/>
      <c r="D270" s="40"/>
      <c r="E270" s="40"/>
      <c r="F270" s="42"/>
      <c r="G270" s="45"/>
      <c r="H270" s="37"/>
      <c r="I270" s="37"/>
      <c r="J270" s="300">
        <f>J269+H270-I270</f>
        <v>71474405</v>
      </c>
    </row>
    <row r="271" spans="1:16">
      <c r="A271" s="35"/>
      <c r="B271" s="47"/>
      <c r="C271" s="40"/>
      <c r="D271" s="40"/>
      <c r="E271" s="40"/>
      <c r="F271" s="42"/>
      <c r="G271" s="45"/>
      <c r="H271" s="37"/>
      <c r="I271" s="37"/>
      <c r="J271" s="300">
        <f t="shared" si="10"/>
        <v>71474405</v>
      </c>
    </row>
    <row r="272" spans="1:16">
      <c r="A272" s="35"/>
      <c r="B272" s="47"/>
      <c r="C272" s="40"/>
      <c r="D272" s="40"/>
      <c r="E272" s="40"/>
      <c r="F272" s="42"/>
      <c r="G272" s="45"/>
      <c r="H272" s="37"/>
      <c r="I272" s="37"/>
      <c r="J272" s="300">
        <f t="shared" si="10"/>
        <v>71474405</v>
      </c>
    </row>
    <row r="273" spans="1:16">
      <c r="A273" s="35"/>
      <c r="B273" s="47"/>
      <c r="C273" s="40"/>
      <c r="D273" s="40"/>
      <c r="E273" s="40"/>
      <c r="F273" s="42"/>
      <c r="G273" s="45"/>
      <c r="H273" s="37"/>
      <c r="I273" s="37"/>
      <c r="J273" s="300">
        <f t="shared" si="10"/>
        <v>71474405</v>
      </c>
    </row>
    <row r="274" spans="1:16">
      <c r="A274" s="35"/>
      <c r="B274" s="47"/>
      <c r="C274" s="40"/>
      <c r="D274" s="40"/>
      <c r="E274" s="40"/>
      <c r="F274" s="42"/>
      <c r="G274" s="45"/>
      <c r="H274" s="37"/>
      <c r="I274" s="37"/>
      <c r="J274" s="300">
        <f t="shared" si="10"/>
        <v>71474405</v>
      </c>
    </row>
    <row r="275" spans="1:16">
      <c r="A275" s="35"/>
      <c r="B275" s="47"/>
      <c r="C275" s="40"/>
      <c r="D275" s="40"/>
      <c r="E275" s="40"/>
      <c r="F275" s="42"/>
      <c r="G275" s="45"/>
      <c r="H275" s="37"/>
      <c r="I275" s="37"/>
      <c r="J275" s="300">
        <f t="shared" si="10"/>
        <v>71474405</v>
      </c>
    </row>
    <row r="276" spans="1:16">
      <c r="A276" s="35"/>
      <c r="B276" s="47"/>
      <c r="C276" s="40"/>
      <c r="D276" s="40"/>
      <c r="E276" s="40"/>
      <c r="F276" s="42"/>
      <c r="G276" s="45"/>
      <c r="H276" s="37"/>
      <c r="I276" s="37"/>
      <c r="J276" s="300">
        <f t="shared" si="10"/>
        <v>71474405</v>
      </c>
    </row>
    <row r="277" spans="1:16">
      <c r="A277" s="35"/>
      <c r="B277" s="47"/>
      <c r="C277" s="40"/>
      <c r="D277" s="40"/>
      <c r="E277" s="40"/>
      <c r="F277" s="42"/>
      <c r="G277" s="45"/>
      <c r="H277" s="37"/>
      <c r="I277" s="37"/>
      <c r="J277" s="300">
        <f t="shared" si="10"/>
        <v>71474405</v>
      </c>
    </row>
    <row r="278" spans="1:16">
      <c r="A278" s="35"/>
      <c r="B278" s="47"/>
      <c r="C278" s="40"/>
      <c r="D278" s="40"/>
      <c r="E278" s="40"/>
      <c r="F278" s="42"/>
      <c r="G278" s="45"/>
      <c r="H278" s="37"/>
      <c r="I278" s="37"/>
      <c r="J278" s="300">
        <f t="shared" si="10"/>
        <v>71474405</v>
      </c>
    </row>
    <row r="279" spans="1:16">
      <c r="A279" s="35"/>
      <c r="B279" s="47"/>
      <c r="C279" s="40"/>
      <c r="D279" s="40"/>
      <c r="E279" s="40"/>
      <c r="F279" s="42"/>
      <c r="G279" s="45"/>
      <c r="H279" s="51"/>
      <c r="I279" s="51"/>
      <c r="J279" s="300">
        <f t="shared" si="10"/>
        <v>71474405</v>
      </c>
    </row>
    <row r="280" spans="1:16">
      <c r="A280" s="35"/>
      <c r="B280" s="53"/>
      <c r="C280" s="54"/>
      <c r="D280" s="54"/>
      <c r="E280" s="40"/>
      <c r="F280" s="42"/>
      <c r="G280" s="45"/>
      <c r="H280" s="51"/>
      <c r="I280" s="51"/>
      <c r="J280" s="300">
        <f>J279+H280-I280</f>
        <v>71474405</v>
      </c>
    </row>
    <row r="281" spans="1:16">
      <c r="A281" s="35"/>
      <c r="B281" s="53"/>
      <c r="C281" s="54"/>
      <c r="D281" s="54"/>
      <c r="E281" s="40"/>
      <c r="F281" s="42"/>
      <c r="G281" s="45"/>
      <c r="H281" s="51"/>
      <c r="I281" s="51"/>
      <c r="J281" s="300">
        <f t="shared" si="10"/>
        <v>71474405</v>
      </c>
    </row>
    <row r="282" spans="1:16">
      <c r="A282" s="35"/>
      <c r="B282" s="41"/>
      <c r="C282" s="42"/>
      <c r="D282" s="54"/>
      <c r="E282" s="42"/>
      <c r="F282" s="42"/>
      <c r="G282" s="45"/>
      <c r="H282" s="51"/>
      <c r="I282" s="51"/>
      <c r="J282" s="300">
        <f t="shared" si="10"/>
        <v>71474405</v>
      </c>
    </row>
    <row r="283" spans="1:16">
      <c r="A283" s="35"/>
      <c r="B283" s="320" t="s">
        <v>134</v>
      </c>
      <c r="C283" s="321"/>
      <c r="D283" s="321"/>
      <c r="E283" s="321"/>
      <c r="F283" s="321"/>
      <c r="G283" s="321"/>
      <c r="H283" s="321"/>
      <c r="I283" s="321"/>
      <c r="J283" s="322"/>
    </row>
    <row r="284" spans="1:16">
      <c r="A284" s="48"/>
      <c r="B284" s="53"/>
      <c r="C284" s="54"/>
      <c r="D284" s="54"/>
      <c r="E284" s="54"/>
      <c r="F284" s="42" t="s">
        <v>171</v>
      </c>
      <c r="G284" s="42" t="s">
        <v>171</v>
      </c>
      <c r="H284" s="112">
        <f>SUBVENCION!Y25+SUBVENCION!Z25</f>
        <v>0</v>
      </c>
      <c r="I284" s="37"/>
      <c r="J284" s="300">
        <f>+J282+H284-I284</f>
        <v>71474405</v>
      </c>
      <c r="L284" s="97" t="s">
        <v>5</v>
      </c>
      <c r="M284" s="36" t="s">
        <v>214</v>
      </c>
      <c r="N284" s="97" t="s">
        <v>212</v>
      </c>
      <c r="O284" s="97" t="s">
        <v>213</v>
      </c>
      <c r="P284" s="97" t="s">
        <v>7</v>
      </c>
    </row>
    <row r="285" spans="1:16">
      <c r="A285" s="48"/>
      <c r="B285" s="53"/>
      <c r="C285" s="54"/>
      <c r="D285" s="54"/>
      <c r="E285" s="54"/>
      <c r="F285" s="42" t="s">
        <v>199</v>
      </c>
      <c r="G285" s="42" t="s">
        <v>211</v>
      </c>
      <c r="H285" s="37"/>
      <c r="I285" s="37"/>
      <c r="J285" s="300">
        <f>J284+H285-I285</f>
        <v>71474405</v>
      </c>
      <c r="L285" s="115">
        <f>H284</f>
        <v>0</v>
      </c>
      <c r="M285" s="101">
        <f>L285*10%</f>
        <v>0</v>
      </c>
      <c r="N285" s="115">
        <f>I285</f>
        <v>0</v>
      </c>
      <c r="O285" s="115"/>
      <c r="P285" s="115">
        <f>L285-M285-N285-O285</f>
        <v>0</v>
      </c>
    </row>
    <row r="286" spans="1:16">
      <c r="A286" s="48"/>
      <c r="B286" s="53"/>
      <c r="C286" s="54"/>
      <c r="D286" s="54"/>
      <c r="E286" s="54"/>
      <c r="F286" s="42"/>
      <c r="G286" s="42"/>
      <c r="H286" s="37"/>
      <c r="I286" s="37"/>
      <c r="J286" s="300">
        <f t="shared" ref="J286:J290" si="11">+J284+H286-I286</f>
        <v>71474405</v>
      </c>
      <c r="L286" s="104"/>
      <c r="N286" s="104"/>
      <c r="O286" s="104"/>
      <c r="P286" s="104"/>
    </row>
    <row r="287" spans="1:16">
      <c r="A287" s="48"/>
      <c r="B287" s="53"/>
      <c r="C287" s="54"/>
      <c r="D287" s="54"/>
      <c r="E287" s="54"/>
      <c r="F287" s="42"/>
      <c r="G287" s="42"/>
      <c r="H287" s="37"/>
      <c r="I287" s="37"/>
      <c r="J287" s="300">
        <f t="shared" si="11"/>
        <v>71474405</v>
      </c>
      <c r="L287" s="104"/>
      <c r="N287" s="104"/>
      <c r="O287" s="104"/>
      <c r="P287" s="104"/>
    </row>
    <row r="288" spans="1:16">
      <c r="A288" s="48"/>
      <c r="B288" s="53"/>
      <c r="C288" s="54"/>
      <c r="D288" s="54"/>
      <c r="E288" s="54"/>
      <c r="F288" s="42"/>
      <c r="G288" s="42"/>
      <c r="H288" s="37"/>
      <c r="I288" s="37"/>
      <c r="J288" s="300">
        <f t="shared" si="11"/>
        <v>71474405</v>
      </c>
      <c r="L288" s="104"/>
      <c r="N288" s="104"/>
      <c r="O288" s="104"/>
      <c r="P288" s="104"/>
    </row>
    <row r="289" spans="1:16">
      <c r="A289" s="48"/>
      <c r="B289" s="53"/>
      <c r="C289" s="54"/>
      <c r="D289" s="54"/>
      <c r="E289" s="54"/>
      <c r="F289" s="42"/>
      <c r="G289" s="42"/>
      <c r="H289" s="37"/>
      <c r="I289" s="37"/>
      <c r="J289" s="300">
        <f t="shared" si="11"/>
        <v>71474405</v>
      </c>
      <c r="L289" s="104"/>
      <c r="N289" s="104"/>
      <c r="O289" s="104"/>
      <c r="P289" s="104"/>
    </row>
    <row r="290" spans="1:16">
      <c r="A290" s="48"/>
      <c r="B290" s="53"/>
      <c r="C290" s="54"/>
      <c r="D290" s="54"/>
      <c r="E290" s="40"/>
      <c r="F290" s="42"/>
      <c r="G290" s="45"/>
      <c r="H290" s="37"/>
      <c r="I290" s="37"/>
      <c r="J290" s="300">
        <f t="shared" si="11"/>
        <v>71474405</v>
      </c>
    </row>
    <row r="291" spans="1:16">
      <c r="A291" s="48"/>
      <c r="B291" s="53"/>
      <c r="C291" s="54"/>
      <c r="D291" s="54"/>
      <c r="E291" s="40"/>
      <c r="F291" s="45"/>
      <c r="G291" s="42"/>
      <c r="H291" s="37"/>
      <c r="I291" s="37"/>
      <c r="J291" s="300">
        <f t="shared" ref="J291:J294" si="12">+J290+H291-I291</f>
        <v>71474405</v>
      </c>
    </row>
    <row r="292" spans="1:16">
      <c r="A292" s="48"/>
      <c r="B292" s="53"/>
      <c r="C292" s="54"/>
      <c r="D292" s="54"/>
      <c r="E292" s="54"/>
      <c r="F292" s="42"/>
      <c r="G292" s="45"/>
      <c r="H292" s="37"/>
      <c r="I292" s="37"/>
      <c r="J292" s="300">
        <f t="shared" si="12"/>
        <v>71474405</v>
      </c>
    </row>
    <row r="293" spans="1:16">
      <c r="B293" s="53"/>
      <c r="C293" s="54"/>
      <c r="D293" s="54"/>
      <c r="E293" s="54"/>
      <c r="F293" s="42"/>
      <c r="G293" s="45"/>
      <c r="H293" s="37"/>
      <c r="I293" s="37"/>
      <c r="J293" s="300">
        <f t="shared" si="12"/>
        <v>71474405</v>
      </c>
    </row>
    <row r="294" spans="1:16">
      <c r="B294" s="53"/>
      <c r="C294" s="54"/>
      <c r="D294" s="54"/>
      <c r="E294" s="54"/>
      <c r="F294" s="42" t="s">
        <v>135</v>
      </c>
      <c r="G294" s="45" t="s">
        <v>135</v>
      </c>
      <c r="H294" s="37">
        <f>(H11+H17+H20+H55+H74+H99+H111+H138+H180+H213+H266+H284)*-10%</f>
        <v>-59434161</v>
      </c>
      <c r="I294" s="37"/>
      <c r="J294" s="300">
        <f t="shared" si="12"/>
        <v>12040244</v>
      </c>
    </row>
    <row r="295" spans="1:16">
      <c r="B295" s="46" t="s">
        <v>8</v>
      </c>
      <c r="C295" s="97" t="s">
        <v>8</v>
      </c>
      <c r="D295" s="97"/>
      <c r="E295" s="97"/>
      <c r="F295" s="97"/>
      <c r="G295" s="97" t="s">
        <v>9</v>
      </c>
      <c r="H295" s="38">
        <f>SUM(H9:H294)</f>
        <v>541681268</v>
      </c>
      <c r="I295" s="38">
        <f>SUM(I11:I294)</f>
        <v>529641024</v>
      </c>
      <c r="J295" s="309">
        <f>+H295-I295</f>
        <v>12040244</v>
      </c>
      <c r="L295" s="50"/>
    </row>
    <row r="296" spans="1:16">
      <c r="H296" s="81"/>
    </row>
    <row r="297" spans="1:16">
      <c r="J297" s="80"/>
    </row>
    <row r="298" spans="1:16">
      <c r="H298" s="81"/>
    </row>
    <row r="299" spans="1:16">
      <c r="G299" s="44" t="s">
        <v>210</v>
      </c>
      <c r="H299" s="97" t="s">
        <v>5</v>
      </c>
      <c r="I299" s="97" t="s">
        <v>6</v>
      </c>
      <c r="J299" s="97" t="s">
        <v>198</v>
      </c>
    </row>
    <row r="300" spans="1:16">
      <c r="H300" s="144">
        <f>+H295</f>
        <v>541681268</v>
      </c>
      <c r="I300" s="43">
        <f>+I295</f>
        <v>529641024</v>
      </c>
      <c r="J300" s="143">
        <f>+I300*100/H300</f>
        <v>97.777245640327365</v>
      </c>
    </row>
  </sheetData>
  <autoFilter ref="B8:J88" xr:uid="{00000000-0001-0000-1500-000000000000}"/>
  <mergeCells count="18">
    <mergeCell ref="B283:J283"/>
    <mergeCell ref="B265:J265"/>
    <mergeCell ref="B212:J212"/>
    <mergeCell ref="B179:J179"/>
    <mergeCell ref="B137:J137"/>
    <mergeCell ref="B110:J110"/>
    <mergeCell ref="B2:J2"/>
    <mergeCell ref="B3:J3"/>
    <mergeCell ref="B4:J4"/>
    <mergeCell ref="B5:J5"/>
    <mergeCell ref="B7:J7"/>
    <mergeCell ref="B6:J6"/>
    <mergeCell ref="B98:J98"/>
    <mergeCell ref="B54:J54"/>
    <mergeCell ref="B73:J73"/>
    <mergeCell ref="B16:G16"/>
    <mergeCell ref="B19:J19"/>
    <mergeCell ref="B10:J10"/>
  </mergeCells>
  <phoneticPr fontId="16" type="noConversion"/>
  <conditionalFormatting sqref="H20:I37 H180:J211">
    <cfRule type="cellIs" dxfId="23" priority="45" operator="lessThan">
      <formula>0</formula>
    </cfRule>
  </conditionalFormatting>
  <conditionalFormatting sqref="H55:I68">
    <cfRule type="cellIs" dxfId="22" priority="20" operator="lessThan">
      <formula>0</formula>
    </cfRule>
  </conditionalFormatting>
  <conditionalFormatting sqref="H70:I72">
    <cfRule type="cellIs" dxfId="21" priority="60" operator="lessThan">
      <formula>0</formula>
    </cfRule>
  </conditionalFormatting>
  <conditionalFormatting sqref="H111:I125 H127:I136 H213:I222 H224:I262 H264:J264 H268:I268">
    <cfRule type="cellIs" dxfId="20" priority="37" operator="lessThan">
      <formula>0</formula>
    </cfRule>
  </conditionalFormatting>
  <conditionalFormatting sqref="H1:J9 H39:I53 B110 H278:I282 H301:J1048576">
    <cfRule type="cellIs" dxfId="19" priority="63" operator="lessThan">
      <formula>0</formula>
    </cfRule>
  </conditionalFormatting>
  <conditionalFormatting sqref="H11:J15">
    <cfRule type="cellIs" dxfId="18" priority="29" operator="lessThan">
      <formula>0</formula>
    </cfRule>
  </conditionalFormatting>
  <conditionalFormatting sqref="H17:J18">
    <cfRule type="cellIs" dxfId="17" priority="11" operator="lessThan">
      <formula>0</formula>
    </cfRule>
  </conditionalFormatting>
  <conditionalFormatting sqref="H74:J97">
    <cfRule type="cellIs" dxfId="16" priority="8" operator="lessThan">
      <formula>0</formula>
    </cfRule>
  </conditionalFormatting>
  <conditionalFormatting sqref="H99:J109">
    <cfRule type="cellIs" dxfId="15" priority="7" operator="lessThan">
      <formula>0</formula>
    </cfRule>
  </conditionalFormatting>
  <conditionalFormatting sqref="H138:J178">
    <cfRule type="cellIs" dxfId="14" priority="5" operator="lessThan">
      <formula>0</formula>
    </cfRule>
  </conditionalFormatting>
  <conditionalFormatting sqref="I267">
    <cfRule type="cellIs" dxfId="13" priority="33" operator="lessThan">
      <formula>0</formula>
    </cfRule>
  </conditionalFormatting>
  <conditionalFormatting sqref="I284 H285:I295 H296:J298">
    <cfRule type="cellIs" dxfId="12" priority="51" operator="lessThan">
      <formula>0</formula>
    </cfRule>
  </conditionalFormatting>
  <conditionalFormatting sqref="J20:J53">
    <cfRule type="cellIs" dxfId="11" priority="10" operator="lessThan">
      <formula>0</formula>
    </cfRule>
  </conditionalFormatting>
  <conditionalFormatting sqref="J55:J72">
    <cfRule type="cellIs" dxfId="10" priority="9" operator="lessThan">
      <formula>0</formula>
    </cfRule>
  </conditionalFormatting>
  <conditionalFormatting sqref="J111:J136">
    <cfRule type="cellIs" dxfId="9" priority="6" operator="lessThan">
      <formula>0</formula>
    </cfRule>
  </conditionalFormatting>
  <conditionalFormatting sqref="J213:J263">
    <cfRule type="cellIs" dxfId="8" priority="3" operator="lessThan">
      <formula>0</formula>
    </cfRule>
  </conditionalFormatting>
  <conditionalFormatting sqref="J266:J282">
    <cfRule type="cellIs" dxfId="7" priority="2" operator="lessThan">
      <formula>0</formula>
    </cfRule>
  </conditionalFormatting>
  <conditionalFormatting sqref="J284:J295">
    <cfRule type="cellIs" dxfId="6" priority="1" operator="lessThan">
      <formula>0</formula>
    </cfRule>
  </conditionalFormatting>
  <pageMargins left="1.1023622047244095" right="0.70866141732283472" top="0.74803149606299213" bottom="0.74803149606299213" header="0.31496062992125984" footer="0.31496062992125984"/>
  <pageSetup paperSize="14" scale="36" fitToHeight="0" orientation="portrait" r:id="rId1"/>
  <ignoredErrors>
    <ignoredError sqref="O214" formulaRange="1"/>
    <ignoredError sqref="J285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245"/>
  <sheetViews>
    <sheetView topLeftCell="A92" zoomScaleNormal="100" workbookViewId="0">
      <selection activeCell="J145" sqref="J145:J146"/>
    </sheetView>
  </sheetViews>
  <sheetFormatPr baseColWidth="10" defaultRowHeight="11.25"/>
  <cols>
    <col min="1" max="1" width="27.85546875" style="44" customWidth="1"/>
    <col min="2" max="2" width="11.42578125" style="44"/>
    <col min="3" max="3" width="13.140625" style="108" customWidth="1"/>
    <col min="4" max="4" width="14.7109375" style="44" customWidth="1"/>
    <col min="5" max="5" width="11.42578125" style="44"/>
    <col min="6" max="6" width="36.140625" style="87" customWidth="1"/>
    <col min="7" max="7" width="35.7109375" style="44" bestFit="1" customWidth="1"/>
    <col min="8" max="8" width="11.42578125" style="44"/>
    <col min="9" max="9" width="11.7109375" style="44" bestFit="1" customWidth="1"/>
    <col min="10" max="10" width="12.28515625" style="44" bestFit="1" customWidth="1"/>
    <col min="11" max="16384" width="11.42578125" style="44"/>
  </cols>
  <sheetData>
    <row r="1" spans="1:23">
      <c r="A1" s="35"/>
      <c r="B1" s="35"/>
      <c r="C1" s="105"/>
      <c r="D1" s="35"/>
      <c r="E1" s="35"/>
      <c r="F1" s="8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34" t="s">
        <v>0</v>
      </c>
      <c r="C2" s="334"/>
      <c r="D2" s="334"/>
      <c r="E2" s="334"/>
      <c r="F2" s="334"/>
      <c r="G2" s="334"/>
      <c r="H2" s="334"/>
      <c r="I2" s="334"/>
      <c r="J2" s="3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34" t="s">
        <v>1</v>
      </c>
      <c r="C3" s="334"/>
      <c r="D3" s="334"/>
      <c r="E3" s="334"/>
      <c r="F3" s="334"/>
      <c r="G3" s="334"/>
      <c r="H3" s="334"/>
      <c r="I3" s="334"/>
      <c r="J3" s="3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>
      <c r="A4" s="35"/>
      <c r="B4" s="335" t="s">
        <v>119</v>
      </c>
      <c r="C4" s="336"/>
      <c r="D4" s="336"/>
      <c r="E4" s="336"/>
      <c r="F4" s="336"/>
      <c r="G4" s="336"/>
      <c r="H4" s="336"/>
      <c r="I4" s="336"/>
      <c r="J4" s="337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5"/>
      <c r="B5" s="335" t="s">
        <v>209</v>
      </c>
      <c r="C5" s="336"/>
      <c r="D5" s="336"/>
      <c r="E5" s="336"/>
      <c r="F5" s="336"/>
      <c r="G5" s="336"/>
      <c r="H5" s="336"/>
      <c r="I5" s="336"/>
      <c r="J5" s="337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>
      <c r="A6" s="35"/>
      <c r="B6" s="46" t="s">
        <v>3</v>
      </c>
      <c r="C6" s="97" t="s">
        <v>11</v>
      </c>
      <c r="D6" s="97" t="s">
        <v>10</v>
      </c>
      <c r="E6" s="97" t="s">
        <v>16</v>
      </c>
      <c r="F6" s="55" t="s">
        <v>70</v>
      </c>
      <c r="G6" s="97" t="s">
        <v>4</v>
      </c>
      <c r="H6" s="36" t="s">
        <v>5</v>
      </c>
      <c r="I6" s="36" t="s">
        <v>6</v>
      </c>
      <c r="J6" s="36" t="s">
        <v>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>
      <c r="A7" s="35"/>
      <c r="B7" s="46"/>
      <c r="C7" s="97"/>
      <c r="D7" s="97"/>
      <c r="E7" s="97"/>
      <c r="F7" s="55"/>
      <c r="G7" s="42" t="s">
        <v>172</v>
      </c>
      <c r="H7" s="36">
        <f>+SUBVENCION!AC30</f>
        <v>235655147.90000001</v>
      </c>
      <c r="I7" s="126">
        <v>0</v>
      </c>
      <c r="J7" s="63">
        <f>H7-I7</f>
        <v>235655147.90000001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 s="49" customFormat="1">
      <c r="A8" s="48"/>
      <c r="B8" s="330" t="s">
        <v>66</v>
      </c>
      <c r="C8" s="331"/>
      <c r="D8" s="331"/>
      <c r="E8" s="331"/>
      <c r="F8" s="331"/>
      <c r="G8" s="331"/>
      <c r="H8" s="331"/>
      <c r="I8" s="331"/>
      <c r="J8" s="332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</row>
    <row r="9" spans="1:23">
      <c r="A9" s="35"/>
      <c r="B9" s="47"/>
      <c r="C9" s="40"/>
      <c r="D9" s="40"/>
      <c r="E9" s="40"/>
      <c r="F9" s="42" t="s">
        <v>199</v>
      </c>
      <c r="G9" s="45" t="s">
        <v>199</v>
      </c>
      <c r="H9" s="37"/>
      <c r="I9" s="37">
        <v>18228437</v>
      </c>
      <c r="J9" s="300">
        <f>J7+H9-I9</f>
        <v>217426710.90000001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3">
      <c r="A10" s="35" t="s">
        <v>263</v>
      </c>
      <c r="B10" s="41">
        <v>46034</v>
      </c>
      <c r="C10" s="42">
        <v>4</v>
      </c>
      <c r="D10" s="45" t="s">
        <v>257</v>
      </c>
      <c r="E10" s="40">
        <v>110</v>
      </c>
      <c r="F10" s="42" t="s">
        <v>253</v>
      </c>
      <c r="G10" s="42" t="s">
        <v>253</v>
      </c>
      <c r="H10" s="37"/>
      <c r="I10" s="37">
        <v>454841</v>
      </c>
      <c r="J10" s="300">
        <f>J9+H10-I10</f>
        <v>216971869.90000001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</row>
    <row r="11" spans="1:23">
      <c r="A11" s="35" t="s">
        <v>264</v>
      </c>
      <c r="B11" s="41">
        <v>46034</v>
      </c>
      <c r="C11" s="42">
        <v>5</v>
      </c>
      <c r="D11" s="45"/>
      <c r="E11" s="40"/>
      <c r="F11" s="42" t="s">
        <v>242</v>
      </c>
      <c r="G11" s="42" t="s">
        <v>242</v>
      </c>
      <c r="H11" s="37"/>
      <c r="I11" s="37">
        <v>793450</v>
      </c>
      <c r="J11" s="300">
        <f t="shared" ref="J11:J19" si="0">J10+H11-I11</f>
        <v>216178419.90000001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>
      <c r="A12" s="35" t="s">
        <v>494</v>
      </c>
      <c r="B12" s="41">
        <v>46052</v>
      </c>
      <c r="C12" s="183">
        <v>20</v>
      </c>
      <c r="D12" s="45" t="s">
        <v>259</v>
      </c>
      <c r="E12" s="40">
        <v>221</v>
      </c>
      <c r="F12" s="42" t="s">
        <v>258</v>
      </c>
      <c r="G12" s="42" t="s">
        <v>240</v>
      </c>
      <c r="H12" s="37"/>
      <c r="I12" s="37">
        <v>919346</v>
      </c>
      <c r="J12" s="300">
        <f t="shared" si="0"/>
        <v>215259073.90000001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spans="1:23">
      <c r="A13" s="35" t="s">
        <v>265</v>
      </c>
      <c r="B13" s="41">
        <v>46048</v>
      </c>
      <c r="C13" s="42">
        <v>1</v>
      </c>
      <c r="D13" s="45">
        <v>1</v>
      </c>
      <c r="E13" s="40">
        <v>211</v>
      </c>
      <c r="F13" s="42" t="s">
        <v>260</v>
      </c>
      <c r="G13" s="45" t="s">
        <v>261</v>
      </c>
      <c r="H13" s="37"/>
      <c r="I13" s="37">
        <v>205900</v>
      </c>
      <c r="J13" s="300">
        <f t="shared" si="0"/>
        <v>215053173.90000001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>
      <c r="A14" s="35"/>
      <c r="B14" s="41">
        <v>46049</v>
      </c>
      <c r="C14" s="262">
        <v>6</v>
      </c>
      <c r="D14" s="45" t="s">
        <v>268</v>
      </c>
      <c r="E14" s="224">
        <v>213</v>
      </c>
      <c r="F14" s="42" t="s">
        <v>269</v>
      </c>
      <c r="G14" s="42" t="s">
        <v>240</v>
      </c>
      <c r="H14" s="127"/>
      <c r="I14" s="193">
        <v>452759</v>
      </c>
      <c r="J14" s="300">
        <f t="shared" si="0"/>
        <v>214600414.90000001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>
      <c r="A15" s="35"/>
      <c r="B15" s="170"/>
      <c r="C15" s="183"/>
      <c r="D15" s="45" t="s">
        <v>370</v>
      </c>
      <c r="E15" s="289">
        <v>212</v>
      </c>
      <c r="F15" s="42" t="s">
        <v>242</v>
      </c>
      <c r="G15" s="42" t="s">
        <v>242</v>
      </c>
      <c r="H15" s="46"/>
      <c r="I15" s="204">
        <v>783972</v>
      </c>
      <c r="J15" s="300">
        <f t="shared" si="0"/>
        <v>213816442.90000001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3">
      <c r="A16" s="35"/>
      <c r="B16" s="41"/>
      <c r="C16" s="42"/>
      <c r="D16" s="45"/>
      <c r="E16" s="97">
        <v>55</v>
      </c>
      <c r="F16" s="55" t="s">
        <v>327</v>
      </c>
      <c r="G16" s="55" t="s">
        <v>327</v>
      </c>
      <c r="H16" s="226"/>
      <c r="I16" s="226">
        <v>130769</v>
      </c>
      <c r="J16" s="300">
        <f t="shared" si="0"/>
        <v>213685673.90000001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1:23">
      <c r="A17" s="35"/>
      <c r="B17" s="41"/>
      <c r="C17" s="42"/>
      <c r="D17" s="45"/>
      <c r="E17" s="97">
        <v>55</v>
      </c>
      <c r="F17" s="55" t="s">
        <v>327</v>
      </c>
      <c r="G17" s="55" t="s">
        <v>327</v>
      </c>
      <c r="H17" s="226"/>
      <c r="I17" s="226">
        <v>514366</v>
      </c>
      <c r="J17" s="300">
        <f t="shared" si="0"/>
        <v>213171307.90000001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1:23">
      <c r="A18" s="35"/>
      <c r="B18" s="41"/>
      <c r="C18" s="183"/>
      <c r="D18" s="45"/>
      <c r="E18" s="97">
        <v>55</v>
      </c>
      <c r="F18" s="55" t="s">
        <v>327</v>
      </c>
      <c r="G18" s="55" t="s">
        <v>327</v>
      </c>
      <c r="H18" s="226"/>
      <c r="I18" s="226">
        <v>4000</v>
      </c>
      <c r="J18" s="300">
        <f t="shared" si="0"/>
        <v>213167307.90000001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>
      <c r="A19" s="35"/>
      <c r="B19" s="41"/>
      <c r="C19" s="42"/>
      <c r="D19" s="40"/>
      <c r="E19" s="97">
        <v>93</v>
      </c>
      <c r="F19" s="55" t="s">
        <v>328</v>
      </c>
      <c r="G19" s="56" t="s">
        <v>329</v>
      </c>
      <c r="H19" s="226"/>
      <c r="I19" s="226">
        <v>2465038</v>
      </c>
      <c r="J19" s="300">
        <f t="shared" si="0"/>
        <v>210702269.90000001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3" s="49" customFormat="1">
      <c r="A20" s="48"/>
      <c r="B20" s="330" t="s">
        <v>67</v>
      </c>
      <c r="C20" s="331"/>
      <c r="D20" s="331"/>
      <c r="E20" s="331"/>
      <c r="F20" s="331"/>
      <c r="G20" s="331"/>
      <c r="H20" s="331"/>
      <c r="I20" s="331"/>
      <c r="J20" s="332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</row>
    <row r="21" spans="1:23" s="87" customFormat="1">
      <c r="A21" s="85"/>
      <c r="B21" s="42"/>
      <c r="C21" s="40"/>
      <c r="D21" s="42"/>
      <c r="E21" s="42"/>
      <c r="F21" s="42" t="s">
        <v>199</v>
      </c>
      <c r="G21" s="42" t="s">
        <v>199</v>
      </c>
      <c r="H21" s="42"/>
      <c r="I21" s="64">
        <v>18628893</v>
      </c>
      <c r="J21" s="300">
        <f>J19+H21-I21</f>
        <v>192073376.90000001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</row>
    <row r="22" spans="1:23" s="87" customFormat="1">
      <c r="A22" s="35" t="s">
        <v>262</v>
      </c>
      <c r="B22" s="47">
        <v>46063</v>
      </c>
      <c r="C22" s="40">
        <v>21</v>
      </c>
      <c r="D22" s="40">
        <v>2</v>
      </c>
      <c r="E22" s="40">
        <v>165</v>
      </c>
      <c r="F22" s="42" t="s">
        <v>258</v>
      </c>
      <c r="G22" s="42" t="s">
        <v>240</v>
      </c>
      <c r="H22" s="37"/>
      <c r="I22" s="37">
        <v>188020</v>
      </c>
      <c r="J22" s="300">
        <f>+J21+H22-I22</f>
        <v>191885356.90000001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</row>
    <row r="23" spans="1:23">
      <c r="A23" s="35" t="s">
        <v>262</v>
      </c>
      <c r="B23" s="47">
        <v>46069</v>
      </c>
      <c r="C23" s="40">
        <v>24</v>
      </c>
      <c r="D23" s="40">
        <v>3</v>
      </c>
      <c r="E23" s="40">
        <v>259</v>
      </c>
      <c r="F23" s="42" t="s">
        <v>258</v>
      </c>
      <c r="G23" s="42" t="s">
        <v>240</v>
      </c>
      <c r="H23" s="37"/>
      <c r="I23" s="37">
        <v>19990</v>
      </c>
      <c r="J23" s="300">
        <f t="shared" ref="J23:J29" si="1">+J22+H23-I23</f>
        <v>191865366.90000001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1:23">
      <c r="A24" s="35" t="s">
        <v>262</v>
      </c>
      <c r="B24" s="47">
        <v>46071</v>
      </c>
      <c r="C24" s="40">
        <v>27</v>
      </c>
      <c r="D24" s="40">
        <v>4</v>
      </c>
      <c r="E24" s="40">
        <v>260</v>
      </c>
      <c r="F24" s="42" t="s">
        <v>260</v>
      </c>
      <c r="G24" s="45" t="s">
        <v>261</v>
      </c>
      <c r="H24" s="37"/>
      <c r="I24" s="37">
        <v>196231</v>
      </c>
      <c r="J24" s="300">
        <f t="shared" si="1"/>
        <v>191669135.90000001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1:23">
      <c r="B25" s="127"/>
      <c r="C25" s="224"/>
      <c r="D25" s="127"/>
      <c r="E25" s="260">
        <v>161</v>
      </c>
      <c r="F25" s="55" t="s">
        <v>327</v>
      </c>
      <c r="G25" s="55" t="s">
        <v>327</v>
      </c>
      <c r="H25" s="261"/>
      <c r="I25" s="261">
        <v>130587</v>
      </c>
      <c r="J25" s="300">
        <f t="shared" si="1"/>
        <v>191538548.90000001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1:23">
      <c r="A26" s="35"/>
      <c r="B26" s="47"/>
      <c r="C26" s="40"/>
      <c r="D26" s="40"/>
      <c r="E26" s="97">
        <v>161</v>
      </c>
      <c r="F26" s="55" t="s">
        <v>327</v>
      </c>
      <c r="G26" s="55" t="s">
        <v>327</v>
      </c>
      <c r="H26" s="226"/>
      <c r="I26" s="226">
        <v>514049</v>
      </c>
      <c r="J26" s="300">
        <f t="shared" si="1"/>
        <v>191024499.90000001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1:23">
      <c r="A27" s="35"/>
      <c r="B27" s="47"/>
      <c r="C27" s="40"/>
      <c r="D27" s="40"/>
      <c r="E27" s="97">
        <v>161</v>
      </c>
      <c r="F27" s="55" t="s">
        <v>327</v>
      </c>
      <c r="G27" s="55" t="s">
        <v>327</v>
      </c>
      <c r="H27" s="226"/>
      <c r="I27" s="226">
        <v>4000</v>
      </c>
      <c r="J27" s="300">
        <f t="shared" si="1"/>
        <v>191020499.90000001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 spans="1:23">
      <c r="A28" s="35"/>
      <c r="B28" s="47"/>
      <c r="C28" s="40"/>
      <c r="D28" s="40"/>
      <c r="E28" s="97">
        <v>162</v>
      </c>
      <c r="F28" s="55" t="s">
        <v>328</v>
      </c>
      <c r="G28" s="56" t="s">
        <v>329</v>
      </c>
      <c r="H28" s="226"/>
      <c r="I28" s="226">
        <v>2465038</v>
      </c>
      <c r="J28" s="300">
        <f t="shared" si="1"/>
        <v>188555461.90000001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 spans="1:23">
      <c r="A29" s="35"/>
      <c r="B29" s="47"/>
      <c r="C29" s="40"/>
      <c r="D29" s="40"/>
      <c r="E29" s="40"/>
      <c r="F29" s="42"/>
      <c r="G29" s="45"/>
      <c r="H29" s="37"/>
      <c r="I29" s="37"/>
      <c r="J29" s="300">
        <f t="shared" si="1"/>
        <v>188555461.90000001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</row>
    <row r="30" spans="1:23" s="49" customFormat="1">
      <c r="A30" s="48"/>
      <c r="B30" s="330" t="s">
        <v>68</v>
      </c>
      <c r="C30" s="331"/>
      <c r="D30" s="331"/>
      <c r="E30" s="331"/>
      <c r="F30" s="331"/>
      <c r="G30" s="331"/>
      <c r="H30" s="331"/>
      <c r="I30" s="331"/>
      <c r="J30" s="332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</row>
    <row r="31" spans="1:23">
      <c r="A31" s="35"/>
      <c r="B31" s="47"/>
      <c r="C31" s="40"/>
      <c r="D31" s="40"/>
      <c r="E31" s="40"/>
      <c r="F31" s="42" t="s">
        <v>199</v>
      </c>
      <c r="G31" s="42" t="s">
        <v>199</v>
      </c>
      <c r="H31" s="37"/>
      <c r="I31" s="37">
        <v>15719587</v>
      </c>
      <c r="J31" s="300">
        <f>+J29+H31-I31</f>
        <v>172835874.90000001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>
      <c r="A32" s="35" t="s">
        <v>311</v>
      </c>
      <c r="B32" s="47">
        <v>46093</v>
      </c>
      <c r="C32" s="40">
        <v>28</v>
      </c>
      <c r="D32" s="40">
        <v>101</v>
      </c>
      <c r="E32" s="40">
        <v>391</v>
      </c>
      <c r="F32" s="42" t="s">
        <v>239</v>
      </c>
      <c r="G32" s="45" t="s">
        <v>240</v>
      </c>
      <c r="H32" s="37"/>
      <c r="I32" s="37">
        <v>209649</v>
      </c>
      <c r="J32" s="300">
        <f>+J31+H32-I32</f>
        <v>172626225.90000001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>
      <c r="A33" s="35"/>
      <c r="B33" s="47">
        <v>46093</v>
      </c>
      <c r="C33" s="40">
        <v>29</v>
      </c>
      <c r="D33" s="40">
        <v>102</v>
      </c>
      <c r="E33" s="40">
        <v>376</v>
      </c>
      <c r="F33" s="42" t="s">
        <v>270</v>
      </c>
      <c r="G33" s="45" t="s">
        <v>281</v>
      </c>
      <c r="H33" s="37"/>
      <c r="I33" s="37">
        <v>43490</v>
      </c>
      <c r="J33" s="300">
        <f t="shared" ref="J33:J38" si="2">+J32+H33-I33</f>
        <v>172582735.90000001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>
      <c r="A34" s="35"/>
      <c r="B34" s="47">
        <v>46090</v>
      </c>
      <c r="C34" s="40">
        <v>3</v>
      </c>
      <c r="D34" s="40">
        <v>56</v>
      </c>
      <c r="E34" s="40">
        <v>258</v>
      </c>
      <c r="F34" s="42" t="s">
        <v>242</v>
      </c>
      <c r="G34" s="42" t="s">
        <v>242</v>
      </c>
      <c r="H34" s="37"/>
      <c r="I34" s="37">
        <v>101980</v>
      </c>
      <c r="J34" s="300">
        <f t="shared" si="2"/>
        <v>172480755.90000001</v>
      </c>
      <c r="K34" s="35"/>
      <c r="L34" s="35" t="s">
        <v>403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>
      <c r="A35" s="35"/>
      <c r="B35" s="47">
        <v>46099</v>
      </c>
      <c r="C35" s="40">
        <v>42</v>
      </c>
      <c r="D35" s="40" t="s">
        <v>343</v>
      </c>
      <c r="E35" s="40">
        <v>612</v>
      </c>
      <c r="F35" s="42" t="s">
        <v>260</v>
      </c>
      <c r="G35" s="45" t="s">
        <v>325</v>
      </c>
      <c r="H35" s="37"/>
      <c r="I35" s="37">
        <v>696150</v>
      </c>
      <c r="J35" s="300">
        <f t="shared" si="2"/>
        <v>171784605.90000001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>
      <c r="A36" s="35"/>
      <c r="B36" s="47"/>
      <c r="C36" s="40"/>
      <c r="D36" s="40"/>
      <c r="E36" s="97">
        <v>223</v>
      </c>
      <c r="F36" s="55" t="s">
        <v>327</v>
      </c>
      <c r="G36" s="55" t="s">
        <v>327</v>
      </c>
      <c r="H36" s="226"/>
      <c r="I36" s="226">
        <v>130707</v>
      </c>
      <c r="J36" s="300">
        <f t="shared" si="2"/>
        <v>171653898.90000001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>
      <c r="A37" s="35"/>
      <c r="B37" s="47"/>
      <c r="C37" s="40"/>
      <c r="D37" s="40"/>
      <c r="E37" s="97">
        <v>293</v>
      </c>
      <c r="F37" s="55" t="s">
        <v>327</v>
      </c>
      <c r="G37" s="55" t="s">
        <v>327</v>
      </c>
      <c r="H37" s="226"/>
      <c r="I37" s="226">
        <v>4000</v>
      </c>
      <c r="J37" s="300">
        <f t="shared" si="2"/>
        <v>171649898.90000001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>
      <c r="A38" s="35"/>
      <c r="B38" s="47"/>
      <c r="C38" s="40"/>
      <c r="D38" s="40"/>
      <c r="E38" s="97">
        <v>293</v>
      </c>
      <c r="F38" s="55" t="s">
        <v>327</v>
      </c>
      <c r="G38" s="55" t="s">
        <v>327</v>
      </c>
      <c r="H38" s="226"/>
      <c r="I38" s="226">
        <v>27836</v>
      </c>
      <c r="J38" s="300">
        <f t="shared" si="2"/>
        <v>171622062.90000001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>
      <c r="A39" s="35"/>
      <c r="B39" s="260"/>
      <c r="C39" s="260"/>
      <c r="D39" s="260"/>
      <c r="E39" s="260">
        <v>293</v>
      </c>
      <c r="F39" s="55" t="s">
        <v>327</v>
      </c>
      <c r="G39" s="55" t="s">
        <v>327</v>
      </c>
      <c r="I39" s="154">
        <v>515251</v>
      </c>
      <c r="J39" s="300">
        <f>+J38+H40-I40</f>
        <v>169157024.90000001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>
      <c r="A40" s="35"/>
      <c r="B40" s="47"/>
      <c r="C40" s="40"/>
      <c r="D40" s="40"/>
      <c r="E40" s="97">
        <v>299</v>
      </c>
      <c r="F40" s="55" t="s">
        <v>328</v>
      </c>
      <c r="G40" s="56" t="s">
        <v>329</v>
      </c>
      <c r="H40" s="226"/>
      <c r="I40" s="226">
        <v>2465038</v>
      </c>
      <c r="J40" s="300">
        <f>+J39+H41-I41</f>
        <v>166442039.90000001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  <row r="41" spans="1:23">
      <c r="A41" s="35"/>
      <c r="B41" s="47">
        <v>46098</v>
      </c>
      <c r="C41" s="40">
        <v>34</v>
      </c>
      <c r="D41" s="40" t="s">
        <v>383</v>
      </c>
      <c r="E41" s="40">
        <v>619</v>
      </c>
      <c r="F41" s="42" t="s">
        <v>365</v>
      </c>
      <c r="G41" s="45" t="s">
        <v>366</v>
      </c>
      <c r="H41" s="37"/>
      <c r="I41" s="37">
        <v>2714985</v>
      </c>
      <c r="J41" s="300">
        <f t="shared" ref="J41:J43" si="3">+J40+H42-I42</f>
        <v>166234079.90000001</v>
      </c>
      <c r="K41" s="35" t="s">
        <v>512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</row>
    <row r="42" spans="1:23">
      <c r="A42" s="48" t="s">
        <v>38</v>
      </c>
      <c r="B42" s="47">
        <v>46086</v>
      </c>
      <c r="C42" s="40">
        <v>7</v>
      </c>
      <c r="D42" s="40">
        <v>267</v>
      </c>
      <c r="E42" s="40">
        <v>648</v>
      </c>
      <c r="F42" s="42" t="s">
        <v>295</v>
      </c>
      <c r="G42" s="45" t="s">
        <v>395</v>
      </c>
      <c r="H42" s="37"/>
      <c r="I42" s="37">
        <v>207960</v>
      </c>
      <c r="J42" s="300">
        <f t="shared" si="3"/>
        <v>165900879.90000001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</row>
    <row r="43" spans="1:23">
      <c r="A43" s="35"/>
      <c r="B43" s="47">
        <v>46106</v>
      </c>
      <c r="C43" s="40">
        <v>50</v>
      </c>
      <c r="D43" s="40" t="s">
        <v>415</v>
      </c>
      <c r="E43" s="40">
        <v>709</v>
      </c>
      <c r="F43" s="42" t="s">
        <v>416</v>
      </c>
      <c r="G43" s="42" t="s">
        <v>416</v>
      </c>
      <c r="H43" s="37"/>
      <c r="I43" s="37">
        <v>333200</v>
      </c>
      <c r="J43" s="300">
        <f t="shared" si="3"/>
        <v>165900879.90000001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</row>
    <row r="44" spans="1:23" s="49" customFormat="1">
      <c r="A44" s="48"/>
      <c r="B44" s="330" t="s">
        <v>69</v>
      </c>
      <c r="C44" s="331"/>
      <c r="D44" s="331"/>
      <c r="E44" s="331"/>
      <c r="F44" s="331"/>
      <c r="G44" s="331"/>
      <c r="H44" s="331"/>
      <c r="I44" s="331"/>
      <c r="J44" s="332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  <row r="45" spans="1:23" s="49" customFormat="1">
      <c r="A45" s="48"/>
      <c r="B45" s="97"/>
      <c r="C45" s="97"/>
      <c r="D45" s="97"/>
      <c r="E45" s="97"/>
      <c r="F45" s="42" t="s">
        <v>199</v>
      </c>
      <c r="G45" s="42" t="s">
        <v>199</v>
      </c>
      <c r="H45" s="97"/>
      <c r="I45" s="112">
        <v>16676385</v>
      </c>
      <c r="J45" s="300">
        <f>+J43+H45-I45</f>
        <v>149224494.90000001</v>
      </c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 spans="1:23">
      <c r="A46" s="35"/>
      <c r="B46" s="47"/>
      <c r="C46" s="40"/>
      <c r="D46" s="40"/>
      <c r="E46" s="40">
        <v>455</v>
      </c>
      <c r="F46" s="55" t="s">
        <v>327</v>
      </c>
      <c r="G46" s="55" t="s">
        <v>327</v>
      </c>
      <c r="H46" s="37"/>
      <c r="I46" s="37">
        <v>515839</v>
      </c>
      <c r="J46" s="300">
        <f>+J45+H46-I46</f>
        <v>148708655.90000001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 spans="1:23" s="49" customFormat="1">
      <c r="A47" s="48"/>
      <c r="B47" s="53"/>
      <c r="C47" s="40"/>
      <c r="D47" s="40"/>
      <c r="E47" s="40">
        <v>507</v>
      </c>
      <c r="F47" s="42" t="s">
        <v>328</v>
      </c>
      <c r="G47" s="45" t="s">
        <v>329</v>
      </c>
      <c r="H47" s="37"/>
      <c r="I47" s="37">
        <v>2465038</v>
      </c>
      <c r="J47" s="300">
        <f t="shared" ref="J47:J49" si="4">+J46+H47-I47</f>
        <v>146243617.90000001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 spans="1:23" s="49" customFormat="1">
      <c r="A48" s="48" t="s">
        <v>311</v>
      </c>
      <c r="B48" s="47">
        <v>46118</v>
      </c>
      <c r="C48" s="40">
        <v>58</v>
      </c>
      <c r="D48" s="40">
        <v>224</v>
      </c>
      <c r="E48" s="40" t="s">
        <v>511</v>
      </c>
      <c r="F48" s="42" t="s">
        <v>273</v>
      </c>
      <c r="G48" s="42" t="s">
        <v>240</v>
      </c>
      <c r="H48" s="37"/>
      <c r="I48" s="37">
        <v>0</v>
      </c>
      <c r="J48" s="300">
        <f t="shared" si="4"/>
        <v>146243617.90000001</v>
      </c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</row>
    <row r="49" spans="1:23" s="49" customFormat="1">
      <c r="A49" s="48" t="s">
        <v>38</v>
      </c>
      <c r="B49" s="47">
        <v>46118</v>
      </c>
      <c r="C49" s="40">
        <v>6</v>
      </c>
      <c r="D49" s="40">
        <v>266</v>
      </c>
      <c r="E49" s="40">
        <v>576</v>
      </c>
      <c r="F49" s="42" t="s">
        <v>273</v>
      </c>
      <c r="G49" s="42" t="s">
        <v>240</v>
      </c>
      <c r="H49" s="37"/>
      <c r="I49" s="37">
        <v>208900</v>
      </c>
      <c r="J49" s="300">
        <f t="shared" si="4"/>
        <v>146034717.90000001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</row>
    <row r="50" spans="1:23" s="49" customFormat="1">
      <c r="A50" s="48" t="s">
        <v>62</v>
      </c>
      <c r="B50" s="47">
        <v>46113</v>
      </c>
      <c r="C50" s="40">
        <v>54</v>
      </c>
      <c r="D50" s="40">
        <v>228</v>
      </c>
      <c r="E50" s="40">
        <v>637</v>
      </c>
      <c r="F50" s="42" t="s">
        <v>244</v>
      </c>
      <c r="G50" s="45" t="s">
        <v>219</v>
      </c>
      <c r="H50" s="37"/>
      <c r="I50" s="37">
        <v>110000</v>
      </c>
      <c r="J50" s="300">
        <f t="shared" ref="J50:J57" si="5">+J49+H50-I50</f>
        <v>145924717.90000001</v>
      </c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</row>
    <row r="51" spans="1:23" s="49" customFormat="1">
      <c r="A51" s="48" t="s">
        <v>412</v>
      </c>
      <c r="B51" s="47">
        <v>46127</v>
      </c>
      <c r="C51" s="40">
        <v>6</v>
      </c>
      <c r="D51" s="40" t="s">
        <v>436</v>
      </c>
      <c r="E51" s="40">
        <v>623</v>
      </c>
      <c r="F51" s="42" t="s">
        <v>273</v>
      </c>
      <c r="G51" s="42" t="s">
        <v>398</v>
      </c>
      <c r="H51" s="37"/>
      <c r="I51" s="37">
        <v>1945745</v>
      </c>
      <c r="J51" s="300">
        <f t="shared" si="5"/>
        <v>143978972.90000001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</row>
    <row r="52" spans="1:23" s="49" customFormat="1">
      <c r="A52" s="48" t="s">
        <v>42</v>
      </c>
      <c r="B52" s="47">
        <v>46134</v>
      </c>
      <c r="C52" s="40">
        <v>7</v>
      </c>
      <c r="D52" s="40">
        <v>330</v>
      </c>
      <c r="E52" s="40">
        <v>654</v>
      </c>
      <c r="F52" s="42" t="s">
        <v>273</v>
      </c>
      <c r="G52" s="45" t="s">
        <v>401</v>
      </c>
      <c r="H52" s="37"/>
      <c r="I52" s="37">
        <v>37799</v>
      </c>
      <c r="J52" s="300">
        <f t="shared" si="5"/>
        <v>143941173.90000001</v>
      </c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</row>
    <row r="53" spans="1:23" s="49" customFormat="1">
      <c r="A53" s="35" t="s">
        <v>262</v>
      </c>
      <c r="B53" s="47">
        <v>46128</v>
      </c>
      <c r="C53" s="40">
        <v>29</v>
      </c>
      <c r="D53" s="40">
        <v>335</v>
      </c>
      <c r="E53" s="40">
        <v>697</v>
      </c>
      <c r="F53" s="42" t="s">
        <v>270</v>
      </c>
      <c r="G53" s="45" t="s">
        <v>281</v>
      </c>
      <c r="H53" s="37"/>
      <c r="I53" s="37">
        <v>210811</v>
      </c>
      <c r="J53" s="300">
        <f t="shared" si="5"/>
        <v>143730362.90000001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</row>
    <row r="54" spans="1:23" s="49" customFormat="1">
      <c r="A54" s="48" t="s">
        <v>42</v>
      </c>
      <c r="B54" s="47">
        <v>46134</v>
      </c>
      <c r="C54" s="40">
        <v>10</v>
      </c>
      <c r="D54" s="40">
        <v>329</v>
      </c>
      <c r="E54" s="40">
        <v>603</v>
      </c>
      <c r="F54" s="42" t="s">
        <v>273</v>
      </c>
      <c r="G54" s="45" t="s">
        <v>240</v>
      </c>
      <c r="H54" s="37"/>
      <c r="I54" s="37">
        <v>208730</v>
      </c>
      <c r="J54" s="300">
        <f t="shared" si="5"/>
        <v>143521632.90000001</v>
      </c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</row>
    <row r="55" spans="1:23" s="49" customFormat="1">
      <c r="A55" s="48"/>
      <c r="B55" s="47">
        <v>46132</v>
      </c>
      <c r="C55" s="40">
        <v>75</v>
      </c>
      <c r="D55" s="40" t="s">
        <v>419</v>
      </c>
      <c r="E55" s="236"/>
      <c r="F55" s="42" t="s">
        <v>273</v>
      </c>
      <c r="G55" s="45" t="s">
        <v>240</v>
      </c>
      <c r="H55" s="37"/>
      <c r="I55" s="37">
        <v>1790628</v>
      </c>
      <c r="J55" s="300">
        <f t="shared" si="5"/>
        <v>141731004.90000001</v>
      </c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</row>
    <row r="56" spans="1:23" s="49" customFormat="1">
      <c r="A56" s="35" t="s">
        <v>262</v>
      </c>
      <c r="B56" s="47">
        <v>46139</v>
      </c>
      <c r="C56" s="40">
        <v>30</v>
      </c>
      <c r="D56" s="40">
        <v>358</v>
      </c>
      <c r="E56" s="40">
        <v>698</v>
      </c>
      <c r="F56" s="42" t="s">
        <v>219</v>
      </c>
      <c r="G56" s="42" t="s">
        <v>219</v>
      </c>
      <c r="H56" s="37"/>
      <c r="I56" s="37">
        <v>60000</v>
      </c>
      <c r="J56" s="300">
        <f t="shared" si="5"/>
        <v>141671004.90000001</v>
      </c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</row>
    <row r="57" spans="1:23" s="49" customFormat="1">
      <c r="A57" s="48" t="s">
        <v>429</v>
      </c>
      <c r="B57" s="47">
        <v>46141</v>
      </c>
      <c r="C57" s="40">
        <v>81</v>
      </c>
      <c r="D57" s="40">
        <v>362</v>
      </c>
      <c r="E57" s="40">
        <v>598</v>
      </c>
      <c r="F57" s="42" t="s">
        <v>273</v>
      </c>
      <c r="G57" s="45" t="s">
        <v>240</v>
      </c>
      <c r="H57" s="37"/>
      <c r="I57" s="37">
        <v>209629</v>
      </c>
      <c r="J57" s="300">
        <f t="shared" si="5"/>
        <v>141461375.90000001</v>
      </c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</row>
    <row r="58" spans="1:23">
      <c r="A58" s="35"/>
      <c r="B58" s="320" t="s">
        <v>120</v>
      </c>
      <c r="C58" s="321"/>
      <c r="D58" s="321"/>
      <c r="E58" s="321"/>
      <c r="F58" s="321"/>
      <c r="G58" s="321"/>
      <c r="H58" s="321"/>
      <c r="I58" s="321"/>
      <c r="J58" s="322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</row>
    <row r="59" spans="1:23">
      <c r="A59" s="35"/>
      <c r="B59" s="47"/>
      <c r="C59" s="40"/>
      <c r="D59" s="40"/>
      <c r="E59" s="40"/>
      <c r="F59" s="42" t="s">
        <v>199</v>
      </c>
      <c r="G59" s="45" t="s">
        <v>199</v>
      </c>
      <c r="H59" s="37"/>
      <c r="I59" s="37">
        <v>16147253</v>
      </c>
      <c r="J59" s="300">
        <f>+J57+H59-I59</f>
        <v>125314122.90000001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</row>
    <row r="60" spans="1:23">
      <c r="A60" s="35"/>
      <c r="B60" s="47"/>
      <c r="C60" s="40"/>
      <c r="D60" s="40"/>
      <c r="E60" s="40">
        <v>564</v>
      </c>
      <c r="F60" s="55" t="s">
        <v>327</v>
      </c>
      <c r="G60" s="55" t="s">
        <v>327</v>
      </c>
      <c r="H60" s="37"/>
      <c r="I60" s="37">
        <v>677091</v>
      </c>
      <c r="J60" s="300">
        <f>+J59+H60-I60</f>
        <v>124637031.90000001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</row>
    <row r="61" spans="1:23">
      <c r="A61" s="35"/>
      <c r="B61" s="47"/>
      <c r="C61" s="40"/>
      <c r="D61" s="40"/>
      <c r="E61" s="40">
        <v>564</v>
      </c>
      <c r="F61" s="55" t="s">
        <v>327</v>
      </c>
      <c r="G61" s="55" t="s">
        <v>327</v>
      </c>
      <c r="H61" s="37"/>
      <c r="I61" s="37">
        <v>519616</v>
      </c>
      <c r="J61" s="300">
        <f>+J60+H61-I61</f>
        <v>124117415.90000001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</row>
    <row r="62" spans="1:23">
      <c r="A62" s="35"/>
      <c r="B62" s="47"/>
      <c r="C62" s="40"/>
      <c r="D62" s="40"/>
      <c r="E62" s="40">
        <v>715</v>
      </c>
      <c r="F62" s="55" t="s">
        <v>327</v>
      </c>
      <c r="G62" s="55" t="s">
        <v>327</v>
      </c>
      <c r="H62" s="37"/>
      <c r="I62" s="51">
        <v>341006</v>
      </c>
      <c r="J62" s="300">
        <f t="shared" ref="J62:J73" si="6">+J61+H62-I62</f>
        <v>123776409.90000001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</row>
    <row r="63" spans="1:23">
      <c r="A63" s="35"/>
      <c r="B63" s="47"/>
      <c r="C63" s="40"/>
      <c r="D63" s="40"/>
      <c r="E63" s="40">
        <v>688</v>
      </c>
      <c r="F63" s="42" t="s">
        <v>328</v>
      </c>
      <c r="G63" s="45" t="s">
        <v>329</v>
      </c>
      <c r="H63" s="37"/>
      <c r="I63" s="37">
        <v>2465038</v>
      </c>
      <c r="J63" s="300">
        <f t="shared" si="6"/>
        <v>121311371.90000001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</row>
    <row r="64" spans="1:23">
      <c r="A64" s="35"/>
      <c r="B64" s="47">
        <v>46142</v>
      </c>
      <c r="C64" s="40">
        <v>78</v>
      </c>
      <c r="D64" s="40">
        <v>385</v>
      </c>
      <c r="E64" s="40"/>
      <c r="F64" s="42" t="s">
        <v>437</v>
      </c>
      <c r="G64" s="42" t="s">
        <v>437</v>
      </c>
      <c r="H64" s="37"/>
      <c r="I64" s="51">
        <v>119357</v>
      </c>
      <c r="J64" s="300">
        <f t="shared" si="6"/>
        <v>121192014.90000001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</row>
    <row r="65" spans="1:23">
      <c r="A65" s="35" t="s">
        <v>311</v>
      </c>
      <c r="B65" s="47">
        <v>46153</v>
      </c>
      <c r="C65" s="40">
        <v>102</v>
      </c>
      <c r="D65" s="40">
        <v>428</v>
      </c>
      <c r="E65" s="40">
        <v>768</v>
      </c>
      <c r="F65" s="42" t="s">
        <v>273</v>
      </c>
      <c r="G65" s="45" t="s">
        <v>240</v>
      </c>
      <c r="H65" s="51"/>
      <c r="I65" s="51">
        <v>211166</v>
      </c>
      <c r="J65" s="300">
        <f t="shared" si="6"/>
        <v>120980848.90000001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</row>
    <row r="66" spans="1:23">
      <c r="A66" s="48" t="s">
        <v>38</v>
      </c>
      <c r="B66" s="47">
        <v>46086</v>
      </c>
      <c r="C66" s="40">
        <v>4</v>
      </c>
      <c r="D66" s="40">
        <v>422</v>
      </c>
      <c r="E66" s="40">
        <v>746</v>
      </c>
      <c r="F66" s="42" t="s">
        <v>273</v>
      </c>
      <c r="G66" s="45" t="s">
        <v>240</v>
      </c>
      <c r="H66" s="51"/>
      <c r="I66" s="51">
        <v>205640</v>
      </c>
      <c r="J66" s="300">
        <f t="shared" si="6"/>
        <v>120775208.90000001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 spans="1:23">
      <c r="A67" s="48" t="s">
        <v>38</v>
      </c>
      <c r="B67" s="47">
        <v>46150</v>
      </c>
      <c r="C67" s="40">
        <v>13</v>
      </c>
      <c r="D67" s="40">
        <v>423</v>
      </c>
      <c r="E67" s="40">
        <v>751</v>
      </c>
      <c r="F67" s="42" t="s">
        <v>273</v>
      </c>
      <c r="G67" s="45" t="s">
        <v>240</v>
      </c>
      <c r="H67" s="51"/>
      <c r="I67" s="51">
        <v>206901</v>
      </c>
      <c r="J67" s="300">
        <f t="shared" si="6"/>
        <v>120568307.90000001</v>
      </c>
      <c r="K67" s="194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</row>
    <row r="68" spans="1:23">
      <c r="A68" s="48" t="s">
        <v>38</v>
      </c>
      <c r="B68" s="47">
        <v>46150</v>
      </c>
      <c r="C68" s="40">
        <v>12</v>
      </c>
      <c r="D68" s="40">
        <v>424</v>
      </c>
      <c r="E68" s="40">
        <v>749</v>
      </c>
      <c r="F68" s="42" t="s">
        <v>242</v>
      </c>
      <c r="G68" s="42" t="s">
        <v>242</v>
      </c>
      <c r="H68" s="51"/>
      <c r="I68" s="51">
        <v>82110</v>
      </c>
      <c r="J68" s="300">
        <f t="shared" si="6"/>
        <v>120486197.90000001</v>
      </c>
      <c r="K68" s="194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</row>
    <row r="69" spans="1:23">
      <c r="A69" s="35" t="s">
        <v>48</v>
      </c>
      <c r="B69" s="47">
        <v>46156</v>
      </c>
      <c r="C69" s="40">
        <v>31</v>
      </c>
      <c r="D69" s="40" t="s">
        <v>598</v>
      </c>
      <c r="E69" s="40">
        <v>1169</v>
      </c>
      <c r="F69" s="42" t="s">
        <v>273</v>
      </c>
      <c r="G69" s="42" t="s">
        <v>273</v>
      </c>
      <c r="H69" s="51"/>
      <c r="I69" s="51">
        <v>410550</v>
      </c>
      <c r="J69" s="300">
        <f t="shared" si="6"/>
        <v>120075647.90000001</v>
      </c>
      <c r="K69" s="194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 spans="1:23">
      <c r="A70" s="35" t="s">
        <v>42</v>
      </c>
      <c r="B70" s="47">
        <v>46169</v>
      </c>
      <c r="C70" s="40">
        <v>15</v>
      </c>
      <c r="D70" s="40">
        <v>503</v>
      </c>
      <c r="E70" s="40">
        <v>845</v>
      </c>
      <c r="F70" s="42" t="s">
        <v>468</v>
      </c>
      <c r="G70" s="42" t="s">
        <v>467</v>
      </c>
      <c r="H70" s="37"/>
      <c r="I70" s="37">
        <v>201001</v>
      </c>
      <c r="J70" s="300">
        <f>+J69+H70-I70</f>
        <v>119874646.90000001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  <row r="71" spans="1:23">
      <c r="A71" s="35" t="s">
        <v>466</v>
      </c>
      <c r="B71" s="47">
        <v>46169</v>
      </c>
      <c r="C71" s="40">
        <v>17</v>
      </c>
      <c r="D71" s="40">
        <v>502</v>
      </c>
      <c r="E71" s="40">
        <v>843</v>
      </c>
      <c r="F71" s="42" t="s">
        <v>273</v>
      </c>
      <c r="G71" s="45" t="s">
        <v>240</v>
      </c>
      <c r="H71" s="37"/>
      <c r="I71" s="37">
        <v>211290</v>
      </c>
      <c r="J71" s="300">
        <f t="shared" si="6"/>
        <v>119663356.90000001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</row>
    <row r="72" spans="1:23">
      <c r="A72" s="35" t="s">
        <v>487</v>
      </c>
      <c r="B72" s="47">
        <v>46156</v>
      </c>
      <c r="C72" s="40">
        <v>105</v>
      </c>
      <c r="D72" s="40">
        <v>448</v>
      </c>
      <c r="E72" s="40">
        <v>744</v>
      </c>
      <c r="F72" s="290" t="s">
        <v>482</v>
      </c>
      <c r="G72" s="216" t="s">
        <v>483</v>
      </c>
      <c r="H72" s="37"/>
      <c r="I72" s="37">
        <v>173959</v>
      </c>
      <c r="J72" s="300">
        <f t="shared" si="6"/>
        <v>119489397.90000001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</row>
    <row r="73" spans="1:23">
      <c r="A73" s="35"/>
      <c r="B73" s="47">
        <v>46156</v>
      </c>
      <c r="C73" s="40">
        <v>106</v>
      </c>
      <c r="D73" s="40">
        <v>449</v>
      </c>
      <c r="E73" s="40">
        <v>746</v>
      </c>
      <c r="F73" s="290" t="s">
        <v>482</v>
      </c>
      <c r="G73" s="216" t="s">
        <v>483</v>
      </c>
      <c r="H73" s="37"/>
      <c r="I73" s="37">
        <v>111200</v>
      </c>
      <c r="J73" s="300">
        <f t="shared" si="6"/>
        <v>119378197.90000001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</row>
    <row r="74" spans="1:23">
      <c r="B74" s="320" t="s">
        <v>129</v>
      </c>
      <c r="C74" s="321"/>
      <c r="D74" s="321"/>
      <c r="E74" s="321"/>
      <c r="F74" s="321"/>
      <c r="G74" s="321"/>
      <c r="H74" s="321"/>
      <c r="I74" s="321"/>
      <c r="J74" s="322"/>
    </row>
    <row r="75" spans="1:23">
      <c r="B75" s="204"/>
      <c r="C75" s="204"/>
      <c r="D75" s="204"/>
      <c r="E75" s="204"/>
      <c r="F75" s="290" t="s">
        <v>199</v>
      </c>
      <c r="G75" s="216" t="s">
        <v>199</v>
      </c>
      <c r="H75" s="216"/>
      <c r="I75" s="37">
        <v>16178235</v>
      </c>
      <c r="J75" s="300">
        <f>J73+H75-I75</f>
        <v>103199962.90000001</v>
      </c>
    </row>
    <row r="76" spans="1:23">
      <c r="B76" s="204"/>
      <c r="C76" s="204"/>
      <c r="D76" s="204"/>
      <c r="E76" s="204"/>
      <c r="F76" s="55" t="s">
        <v>327</v>
      </c>
      <c r="G76" s="55" t="s">
        <v>327</v>
      </c>
      <c r="H76" s="216"/>
      <c r="I76" s="37">
        <v>677091</v>
      </c>
      <c r="J76" s="300">
        <f t="shared" ref="J76:J92" si="7">+J75+H76-I76</f>
        <v>102522871.90000001</v>
      </c>
    </row>
    <row r="77" spans="1:23" ht="12" customHeight="1">
      <c r="B77" s="204"/>
      <c r="C77" s="204"/>
      <c r="D77" s="204"/>
      <c r="E77" s="204">
        <v>791</v>
      </c>
      <c r="F77" s="55" t="s">
        <v>327</v>
      </c>
      <c r="G77" s="55" t="s">
        <v>327</v>
      </c>
      <c r="H77" s="216"/>
      <c r="I77" s="37">
        <v>526015</v>
      </c>
      <c r="J77" s="300">
        <f t="shared" si="7"/>
        <v>101996856.90000001</v>
      </c>
    </row>
    <row r="78" spans="1:23" ht="12" customHeight="1">
      <c r="B78" s="204"/>
      <c r="C78" s="204"/>
      <c r="D78" s="204"/>
      <c r="E78" s="204">
        <v>715</v>
      </c>
      <c r="F78" s="55" t="s">
        <v>327</v>
      </c>
      <c r="G78" s="55" t="s">
        <v>327</v>
      </c>
      <c r="H78" s="216"/>
      <c r="I78" s="51">
        <v>341006</v>
      </c>
      <c r="J78" s="300">
        <f t="shared" si="7"/>
        <v>101655850.90000001</v>
      </c>
    </row>
    <row r="79" spans="1:23" ht="12" customHeight="1">
      <c r="B79" s="204"/>
      <c r="C79" s="204"/>
      <c r="D79" s="204"/>
      <c r="E79" s="204">
        <v>892</v>
      </c>
      <c r="F79" s="42" t="s">
        <v>328</v>
      </c>
      <c r="G79" s="45" t="s">
        <v>329</v>
      </c>
      <c r="H79" s="216"/>
      <c r="I79" s="37">
        <v>2534059</v>
      </c>
      <c r="J79" s="300">
        <f t="shared" si="7"/>
        <v>99121791.900000006</v>
      </c>
    </row>
    <row r="80" spans="1:23" ht="12" customHeight="1">
      <c r="A80" s="35" t="s">
        <v>262</v>
      </c>
      <c r="B80" s="109">
        <v>46178</v>
      </c>
      <c r="C80" s="40">
        <v>32</v>
      </c>
      <c r="D80" s="40">
        <v>543</v>
      </c>
      <c r="E80" s="204">
        <v>973</v>
      </c>
      <c r="F80" s="290" t="s">
        <v>353</v>
      </c>
      <c r="G80" s="290" t="s">
        <v>353</v>
      </c>
      <c r="H80" s="216"/>
      <c r="I80" s="216">
        <v>214200</v>
      </c>
      <c r="J80" s="300">
        <f t="shared" si="7"/>
        <v>98907591.900000006</v>
      </c>
    </row>
    <row r="81" spans="1:10" ht="12" customHeight="1">
      <c r="A81" s="48" t="s">
        <v>38</v>
      </c>
      <c r="B81" s="109">
        <v>46178</v>
      </c>
      <c r="C81" s="204" t="s">
        <v>476</v>
      </c>
      <c r="D81" s="40" t="s">
        <v>499</v>
      </c>
      <c r="E81" s="204">
        <v>960</v>
      </c>
      <c r="F81" s="42" t="s">
        <v>273</v>
      </c>
      <c r="G81" s="42" t="s">
        <v>273</v>
      </c>
      <c r="H81" s="216"/>
      <c r="I81" s="216">
        <v>329800</v>
      </c>
      <c r="J81" s="300">
        <f t="shared" si="7"/>
        <v>98577791.900000006</v>
      </c>
    </row>
    <row r="82" spans="1:10" ht="12" customHeight="1">
      <c r="A82" s="48" t="s">
        <v>38</v>
      </c>
      <c r="B82" s="109">
        <v>46175</v>
      </c>
      <c r="C82" s="291">
        <v>16</v>
      </c>
      <c r="D82" s="204">
        <v>532</v>
      </c>
      <c r="E82" s="204">
        <v>986</v>
      </c>
      <c r="F82" s="290" t="s">
        <v>353</v>
      </c>
      <c r="G82" s="290" t="s">
        <v>353</v>
      </c>
      <c r="H82" s="216"/>
      <c r="I82" s="216">
        <v>119000</v>
      </c>
      <c r="J82" s="300">
        <f t="shared" si="7"/>
        <v>98458791.900000006</v>
      </c>
    </row>
    <row r="83" spans="1:10" ht="12" customHeight="1">
      <c r="A83" s="48" t="s">
        <v>38</v>
      </c>
      <c r="B83" s="109">
        <v>46175</v>
      </c>
      <c r="C83" s="216">
        <v>20</v>
      </c>
      <c r="D83" s="204">
        <v>533</v>
      </c>
      <c r="E83" s="204">
        <v>959</v>
      </c>
      <c r="F83" s="290" t="s">
        <v>482</v>
      </c>
      <c r="G83" s="216" t="s">
        <v>483</v>
      </c>
      <c r="H83" s="216"/>
      <c r="I83" s="216">
        <v>206971</v>
      </c>
      <c r="J83" s="300">
        <f t="shared" si="7"/>
        <v>98251820.900000006</v>
      </c>
    </row>
    <row r="84" spans="1:10">
      <c r="A84" s="48" t="s">
        <v>38</v>
      </c>
      <c r="B84" s="109">
        <v>46175</v>
      </c>
      <c r="C84" s="216">
        <v>15</v>
      </c>
      <c r="D84" s="204">
        <v>534</v>
      </c>
      <c r="E84" s="204">
        <v>960</v>
      </c>
      <c r="F84" s="42" t="s">
        <v>273</v>
      </c>
      <c r="G84" s="290" t="s">
        <v>240</v>
      </c>
      <c r="H84" s="216"/>
      <c r="I84" s="216">
        <v>210969</v>
      </c>
      <c r="J84" s="300">
        <f t="shared" si="7"/>
        <v>98040851.900000006</v>
      </c>
    </row>
    <row r="85" spans="1:10">
      <c r="A85" s="44" t="s">
        <v>494</v>
      </c>
      <c r="B85" s="109">
        <v>46188</v>
      </c>
      <c r="C85" s="216">
        <v>126</v>
      </c>
      <c r="D85" s="204">
        <v>584</v>
      </c>
      <c r="E85" s="204">
        <v>958</v>
      </c>
      <c r="F85" s="290" t="s">
        <v>482</v>
      </c>
      <c r="G85" s="290" t="s">
        <v>261</v>
      </c>
      <c r="H85" s="216"/>
      <c r="I85" s="216">
        <v>208990</v>
      </c>
      <c r="J85" s="300">
        <f t="shared" si="7"/>
        <v>97831861.900000006</v>
      </c>
    </row>
    <row r="86" spans="1:10">
      <c r="A86" s="44" t="s">
        <v>495</v>
      </c>
      <c r="B86" s="109">
        <v>46188</v>
      </c>
      <c r="C86" s="216">
        <v>127</v>
      </c>
      <c r="D86" s="204">
        <v>587</v>
      </c>
      <c r="E86" s="204">
        <v>957</v>
      </c>
      <c r="F86" s="290" t="s">
        <v>219</v>
      </c>
      <c r="G86" s="290" t="s">
        <v>244</v>
      </c>
      <c r="H86" s="216"/>
      <c r="I86" s="216">
        <v>214000</v>
      </c>
      <c r="J86" s="300">
        <f t="shared" si="7"/>
        <v>97617861.900000006</v>
      </c>
    </row>
    <row r="87" spans="1:10">
      <c r="A87" s="44" t="s">
        <v>311</v>
      </c>
      <c r="B87" s="109">
        <v>46185</v>
      </c>
      <c r="C87" s="216">
        <v>125</v>
      </c>
      <c r="D87" s="204">
        <v>580</v>
      </c>
      <c r="E87" s="204">
        <v>964</v>
      </c>
      <c r="F87" s="42" t="s">
        <v>273</v>
      </c>
      <c r="G87" s="290" t="s">
        <v>240</v>
      </c>
      <c r="H87" s="216"/>
      <c r="I87" s="216">
        <v>212658</v>
      </c>
      <c r="J87" s="300">
        <f t="shared" si="7"/>
        <v>97405203.900000006</v>
      </c>
    </row>
    <row r="88" spans="1:10">
      <c r="A88" s="44" t="s">
        <v>502</v>
      </c>
      <c r="B88" s="109">
        <v>46190</v>
      </c>
      <c r="C88" s="216">
        <v>131</v>
      </c>
      <c r="D88" s="204">
        <v>597</v>
      </c>
      <c r="E88" s="204">
        <v>960</v>
      </c>
      <c r="F88" s="42" t="s">
        <v>273</v>
      </c>
      <c r="G88" s="290" t="s">
        <v>240</v>
      </c>
      <c r="H88" s="216"/>
      <c r="I88" s="216">
        <v>110169</v>
      </c>
      <c r="J88" s="300">
        <f t="shared" si="7"/>
        <v>97295034.900000006</v>
      </c>
    </row>
    <row r="89" spans="1:10">
      <c r="B89" s="109">
        <v>46190</v>
      </c>
      <c r="C89" s="216">
        <v>132</v>
      </c>
      <c r="D89" s="292">
        <v>601</v>
      </c>
      <c r="E89" s="204">
        <v>985</v>
      </c>
      <c r="F89" s="42" t="s">
        <v>242</v>
      </c>
      <c r="G89" s="290" t="s">
        <v>496</v>
      </c>
      <c r="H89" s="216"/>
      <c r="I89" s="216">
        <v>98300</v>
      </c>
      <c r="J89" s="300">
        <f t="shared" si="7"/>
        <v>97196734.900000006</v>
      </c>
    </row>
    <row r="90" spans="1:10">
      <c r="B90" s="109">
        <v>46191</v>
      </c>
      <c r="C90" s="204" t="s">
        <v>503</v>
      </c>
      <c r="D90" s="293" t="s">
        <v>602</v>
      </c>
      <c r="E90" s="216">
        <v>1252</v>
      </c>
      <c r="F90" s="290" t="s">
        <v>504</v>
      </c>
      <c r="G90" s="290" t="s">
        <v>504</v>
      </c>
      <c r="H90" s="216"/>
      <c r="I90" s="216">
        <v>1408139</v>
      </c>
      <c r="J90" s="300">
        <f>+J89+H90-I90</f>
        <v>95788595.900000006</v>
      </c>
    </row>
    <row r="91" spans="1:10">
      <c r="B91" s="109">
        <v>46195</v>
      </c>
      <c r="C91" s="204">
        <v>136</v>
      </c>
      <c r="D91" s="293">
        <v>615</v>
      </c>
      <c r="E91" s="216">
        <v>1037</v>
      </c>
      <c r="F91" s="290" t="s">
        <v>482</v>
      </c>
      <c r="G91" s="216" t="s">
        <v>483</v>
      </c>
      <c r="H91" s="216"/>
      <c r="I91" s="216">
        <v>66000</v>
      </c>
      <c r="J91" s="300">
        <f>+J90+H91-I91</f>
        <v>95722595.900000006</v>
      </c>
    </row>
    <row r="92" spans="1:10">
      <c r="A92" s="44" t="s">
        <v>509</v>
      </c>
      <c r="B92" s="109">
        <v>46195</v>
      </c>
      <c r="C92" s="204">
        <v>134</v>
      </c>
      <c r="D92" s="292" t="s">
        <v>627</v>
      </c>
      <c r="E92" s="299"/>
      <c r="F92" s="42" t="s">
        <v>273</v>
      </c>
      <c r="G92" s="290" t="s">
        <v>510</v>
      </c>
      <c r="H92" s="216"/>
      <c r="I92" s="216">
        <v>2427600</v>
      </c>
      <c r="J92" s="300">
        <f t="shared" si="7"/>
        <v>93294995.900000006</v>
      </c>
    </row>
    <row r="93" spans="1:10">
      <c r="B93" s="385" t="s">
        <v>65</v>
      </c>
      <c r="C93" s="386"/>
      <c r="D93" s="386"/>
      <c r="E93" s="386"/>
      <c r="F93" s="386"/>
      <c r="G93" s="386"/>
      <c r="H93" s="386"/>
      <c r="I93" s="386"/>
      <c r="J93" s="387"/>
    </row>
    <row r="94" spans="1:10">
      <c r="B94" s="47"/>
      <c r="C94" s="40"/>
      <c r="D94" s="40"/>
      <c r="E94" s="40"/>
      <c r="F94" s="42" t="s">
        <v>199</v>
      </c>
      <c r="G94" s="42" t="s">
        <v>199</v>
      </c>
      <c r="H94" s="37"/>
      <c r="I94" s="37">
        <v>19784734</v>
      </c>
      <c r="J94" s="300">
        <f>+J92+H94-I94</f>
        <v>73510261.900000006</v>
      </c>
    </row>
    <row r="95" spans="1:10">
      <c r="B95" s="47"/>
      <c r="C95" s="40"/>
      <c r="D95" s="40"/>
      <c r="E95" s="40">
        <v>945</v>
      </c>
      <c r="F95" s="55" t="s">
        <v>327</v>
      </c>
      <c r="G95" s="55" t="s">
        <v>327</v>
      </c>
      <c r="H95" s="37"/>
      <c r="I95" s="37">
        <v>345196</v>
      </c>
      <c r="J95" s="300">
        <f t="shared" ref="J95:J172" si="8">+J94+H95-I95</f>
        <v>73165065.900000006</v>
      </c>
    </row>
    <row r="96" spans="1:10">
      <c r="B96" s="47"/>
      <c r="C96" s="40"/>
      <c r="D96" s="40"/>
      <c r="E96" s="40">
        <v>995</v>
      </c>
      <c r="F96" s="55" t="s">
        <v>327</v>
      </c>
      <c r="G96" s="55" t="s">
        <v>327</v>
      </c>
      <c r="H96" s="37"/>
      <c r="I96" s="37">
        <v>528544</v>
      </c>
      <c r="J96" s="300">
        <f t="shared" si="8"/>
        <v>72636521.900000006</v>
      </c>
    </row>
    <row r="97" spans="1:10">
      <c r="B97" s="47"/>
      <c r="C97" s="40"/>
      <c r="D97" s="40"/>
      <c r="E97" s="40">
        <v>1107</v>
      </c>
      <c r="F97" s="55" t="s">
        <v>327</v>
      </c>
      <c r="G97" s="55" t="s">
        <v>327</v>
      </c>
      <c r="H97" s="37"/>
      <c r="I97" s="37">
        <v>346867</v>
      </c>
      <c r="J97" s="300">
        <f t="shared" si="8"/>
        <v>72289654.900000006</v>
      </c>
    </row>
    <row r="98" spans="1:10">
      <c r="B98" s="47"/>
      <c r="C98" s="40"/>
      <c r="D98" s="40"/>
      <c r="E98" s="40">
        <v>1096</v>
      </c>
      <c r="F98" s="42" t="s">
        <v>328</v>
      </c>
      <c r="G98" s="45" t="s">
        <v>329</v>
      </c>
      <c r="H98" s="37"/>
      <c r="I98" s="37">
        <v>2534059</v>
      </c>
      <c r="J98" s="300">
        <f t="shared" si="8"/>
        <v>69755595.900000006</v>
      </c>
    </row>
    <row r="99" spans="1:10">
      <c r="A99" s="44" t="s">
        <v>48</v>
      </c>
      <c r="B99" s="47">
        <v>46212</v>
      </c>
      <c r="C99" s="40">
        <v>34</v>
      </c>
      <c r="D99" s="40">
        <v>643</v>
      </c>
      <c r="E99" s="40">
        <v>1160</v>
      </c>
      <c r="F99" s="42" t="s">
        <v>273</v>
      </c>
      <c r="G99" s="45" t="s">
        <v>531</v>
      </c>
      <c r="H99" s="37"/>
      <c r="I99" s="37">
        <v>209580</v>
      </c>
      <c r="J99" s="300">
        <f>+J98+H99-I99</f>
        <v>69546015.900000006</v>
      </c>
    </row>
    <row r="100" spans="1:10">
      <c r="A100" s="44" t="s">
        <v>167</v>
      </c>
      <c r="B100" s="47">
        <v>46216</v>
      </c>
      <c r="C100" s="40">
        <v>141</v>
      </c>
      <c r="D100" s="40">
        <v>644</v>
      </c>
      <c r="E100" s="40">
        <v>1156</v>
      </c>
      <c r="F100" s="42" t="s">
        <v>517</v>
      </c>
      <c r="G100" s="45" t="s">
        <v>532</v>
      </c>
      <c r="H100" s="37"/>
      <c r="I100" s="37">
        <v>214681</v>
      </c>
      <c r="J100" s="300">
        <f t="shared" si="8"/>
        <v>69331334.900000006</v>
      </c>
    </row>
    <row r="101" spans="1:10">
      <c r="A101" s="44" t="s">
        <v>38</v>
      </c>
      <c r="B101" s="47">
        <v>46212</v>
      </c>
      <c r="C101" s="40">
        <v>27</v>
      </c>
      <c r="D101" s="40">
        <v>663</v>
      </c>
      <c r="E101" s="40">
        <v>1200</v>
      </c>
      <c r="F101" s="42" t="s">
        <v>242</v>
      </c>
      <c r="G101" s="45" t="s">
        <v>242</v>
      </c>
      <c r="H101" s="37"/>
      <c r="I101" s="37">
        <v>179999</v>
      </c>
      <c r="J101" s="300">
        <f>+J100+H101-I101</f>
        <v>69151335.900000006</v>
      </c>
    </row>
    <row r="102" spans="1:10">
      <c r="A102" s="44" t="s">
        <v>711</v>
      </c>
      <c r="B102" s="47">
        <v>46230</v>
      </c>
      <c r="C102" s="40">
        <v>92</v>
      </c>
      <c r="D102" s="40">
        <v>720</v>
      </c>
      <c r="E102" s="40">
        <v>1246</v>
      </c>
      <c r="F102" s="42" t="s">
        <v>270</v>
      </c>
      <c r="G102" s="42" t="s">
        <v>483</v>
      </c>
      <c r="H102" s="37"/>
      <c r="I102" s="37">
        <v>206810</v>
      </c>
      <c r="J102" s="300">
        <f>+J98+H102-I102</f>
        <v>69548785.900000006</v>
      </c>
    </row>
    <row r="103" spans="1:10">
      <c r="B103" s="47">
        <v>46231</v>
      </c>
      <c r="C103" s="40">
        <v>91</v>
      </c>
      <c r="D103" s="40" t="s">
        <v>625</v>
      </c>
      <c r="E103" s="40">
        <v>1259</v>
      </c>
      <c r="F103" s="199" t="s">
        <v>578</v>
      </c>
      <c r="G103" s="45" t="s">
        <v>579</v>
      </c>
      <c r="H103" s="37"/>
      <c r="I103" s="37">
        <v>342601</v>
      </c>
      <c r="J103" s="300">
        <f>+J102+H103-I103</f>
        <v>69206184.900000006</v>
      </c>
    </row>
    <row r="104" spans="1:10">
      <c r="B104" s="47">
        <v>46227</v>
      </c>
      <c r="C104" s="40">
        <v>149</v>
      </c>
      <c r="D104" s="40" t="s">
        <v>628</v>
      </c>
      <c r="E104" s="40"/>
      <c r="F104" s="42" t="s">
        <v>242</v>
      </c>
      <c r="G104" s="42" t="s">
        <v>629</v>
      </c>
      <c r="H104" s="37"/>
      <c r="I104" s="37">
        <v>714476</v>
      </c>
      <c r="J104" s="300">
        <f>+J103+H104-I104</f>
        <v>68491708.900000006</v>
      </c>
    </row>
    <row r="105" spans="1:10">
      <c r="A105" s="44" t="s">
        <v>768</v>
      </c>
      <c r="B105" s="47">
        <v>46232</v>
      </c>
      <c r="C105" s="40">
        <v>160</v>
      </c>
      <c r="D105" s="40">
        <v>733</v>
      </c>
      <c r="E105" s="40">
        <v>1238</v>
      </c>
      <c r="F105" s="42" t="s">
        <v>269</v>
      </c>
      <c r="G105" s="42" t="s">
        <v>539</v>
      </c>
      <c r="H105" s="37"/>
      <c r="I105" s="37">
        <f>555180+102590</f>
        <v>657770</v>
      </c>
      <c r="J105" s="300">
        <f>+J104+H105-I105</f>
        <v>67833938.900000006</v>
      </c>
    </row>
    <row r="106" spans="1:10">
      <c r="B106" s="47"/>
      <c r="C106" s="40"/>
      <c r="D106" s="40"/>
      <c r="E106" s="40"/>
      <c r="F106" s="199"/>
      <c r="G106" s="45"/>
      <c r="H106" s="37"/>
      <c r="I106" s="37"/>
      <c r="J106" s="300">
        <f>+J105+H106-I106</f>
        <v>67833938.900000006</v>
      </c>
    </row>
    <row r="107" spans="1:10">
      <c r="B107" s="320" t="s">
        <v>130</v>
      </c>
      <c r="C107" s="321"/>
      <c r="D107" s="321"/>
      <c r="E107" s="321"/>
      <c r="F107" s="321"/>
      <c r="G107" s="321"/>
      <c r="H107" s="321"/>
      <c r="I107" s="321"/>
      <c r="J107" s="322"/>
    </row>
    <row r="108" spans="1:10">
      <c r="B108" s="47"/>
      <c r="C108" s="40"/>
      <c r="D108" s="40"/>
      <c r="E108" s="40"/>
      <c r="F108" s="42" t="s">
        <v>199</v>
      </c>
      <c r="G108" s="42" t="s">
        <v>199</v>
      </c>
      <c r="H108" s="37"/>
      <c r="I108" s="37">
        <v>20054169</v>
      </c>
      <c r="J108" s="300">
        <f>+J106+H108-I108</f>
        <v>47779769.900000006</v>
      </c>
    </row>
    <row r="109" spans="1:10">
      <c r="B109" s="47"/>
      <c r="C109" s="40"/>
      <c r="D109" s="40"/>
      <c r="E109" s="40">
        <v>1107</v>
      </c>
      <c r="F109" s="55" t="s">
        <v>327</v>
      </c>
      <c r="G109" s="55" t="s">
        <v>327</v>
      </c>
      <c r="H109" s="37"/>
      <c r="I109" s="37">
        <v>346867</v>
      </c>
      <c r="J109" s="300">
        <f>+J108+H109-I109</f>
        <v>47432902.900000006</v>
      </c>
    </row>
    <row r="110" spans="1:10">
      <c r="B110" s="47"/>
      <c r="C110" s="40"/>
      <c r="D110" s="40"/>
      <c r="E110" s="40">
        <v>1399</v>
      </c>
      <c r="F110" s="55" t="s">
        <v>327</v>
      </c>
      <c r="G110" s="55" t="s">
        <v>327</v>
      </c>
      <c r="H110" s="37"/>
      <c r="I110" s="37">
        <v>347042</v>
      </c>
      <c r="J110" s="300">
        <f>+J109+H110-I110</f>
        <v>47085860.900000006</v>
      </c>
    </row>
    <row r="111" spans="1:10">
      <c r="B111" s="47"/>
      <c r="C111" s="40"/>
      <c r="D111" s="40"/>
      <c r="E111" s="40">
        <v>1405</v>
      </c>
      <c r="F111" s="55" t="s">
        <v>327</v>
      </c>
      <c r="G111" s="55" t="s">
        <v>327</v>
      </c>
      <c r="H111" s="37"/>
      <c r="I111" s="37">
        <v>528825</v>
      </c>
      <c r="J111" s="300">
        <f t="shared" si="8"/>
        <v>46557035.900000006</v>
      </c>
    </row>
    <row r="112" spans="1:10">
      <c r="B112" s="47"/>
      <c r="C112" s="40"/>
      <c r="D112" s="40"/>
      <c r="E112" s="40">
        <v>1367</v>
      </c>
      <c r="F112" s="42" t="s">
        <v>328</v>
      </c>
      <c r="G112" s="45" t="s">
        <v>329</v>
      </c>
      <c r="H112" s="37"/>
      <c r="I112" s="37">
        <v>2534059</v>
      </c>
      <c r="J112" s="300">
        <f>+J111+H112-I112</f>
        <v>44022976.900000006</v>
      </c>
    </row>
    <row r="113" spans="1:10">
      <c r="A113" s="44" t="s">
        <v>48</v>
      </c>
      <c r="B113" s="47">
        <v>46234</v>
      </c>
      <c r="C113" s="40">
        <v>36</v>
      </c>
      <c r="D113" s="40">
        <v>751</v>
      </c>
      <c r="E113" s="40">
        <v>1323</v>
      </c>
      <c r="F113" s="42" t="s">
        <v>219</v>
      </c>
      <c r="G113" s="45" t="s">
        <v>449</v>
      </c>
      <c r="H113" s="37"/>
      <c r="I113" s="37">
        <v>207000</v>
      </c>
      <c r="J113" s="300">
        <f t="shared" si="8"/>
        <v>43815976.900000006</v>
      </c>
    </row>
    <row r="114" spans="1:10">
      <c r="B114" s="47">
        <v>46244</v>
      </c>
      <c r="C114" s="40">
        <v>173</v>
      </c>
      <c r="D114" s="40" t="s">
        <v>655</v>
      </c>
      <c r="E114" s="40">
        <v>1307</v>
      </c>
      <c r="F114" s="42" t="s">
        <v>615</v>
      </c>
      <c r="G114" s="45" t="s">
        <v>616</v>
      </c>
      <c r="H114" s="37"/>
      <c r="I114" s="37">
        <v>435540</v>
      </c>
      <c r="J114" s="300">
        <f t="shared" si="8"/>
        <v>43380436.900000006</v>
      </c>
    </row>
    <row r="115" spans="1:10">
      <c r="A115" s="44" t="s">
        <v>262</v>
      </c>
      <c r="B115" s="47">
        <v>46244</v>
      </c>
      <c r="C115" s="40">
        <v>35</v>
      </c>
      <c r="D115" s="40">
        <v>800</v>
      </c>
      <c r="E115" s="40">
        <v>1364</v>
      </c>
      <c r="F115" s="42" t="s">
        <v>270</v>
      </c>
      <c r="G115" s="45" t="s">
        <v>641</v>
      </c>
      <c r="H115" s="37"/>
      <c r="I115" s="37">
        <v>210811</v>
      </c>
      <c r="J115" s="300">
        <f t="shared" si="8"/>
        <v>43169625.900000006</v>
      </c>
    </row>
    <row r="116" spans="1:10">
      <c r="A116" s="44" t="s">
        <v>262</v>
      </c>
      <c r="B116" s="47">
        <v>46244</v>
      </c>
      <c r="C116" s="40">
        <v>36</v>
      </c>
      <c r="D116" s="40">
        <v>801</v>
      </c>
      <c r="E116" s="40"/>
      <c r="F116" s="42" t="s">
        <v>269</v>
      </c>
      <c r="G116" s="45" t="s">
        <v>458</v>
      </c>
      <c r="H116" s="37"/>
      <c r="I116" s="37">
        <v>134680</v>
      </c>
      <c r="J116" s="300">
        <f t="shared" si="8"/>
        <v>43034945.900000006</v>
      </c>
    </row>
    <row r="117" spans="1:10">
      <c r="A117" s="44" t="s">
        <v>494</v>
      </c>
      <c r="B117" s="47">
        <v>46248</v>
      </c>
      <c r="C117" s="40">
        <v>177</v>
      </c>
      <c r="D117" s="40">
        <v>813</v>
      </c>
      <c r="E117" s="40">
        <v>1322</v>
      </c>
      <c r="F117" s="42" t="s">
        <v>269</v>
      </c>
      <c r="G117" s="45" t="s">
        <v>458</v>
      </c>
      <c r="H117" s="37"/>
      <c r="I117" s="37">
        <v>112730</v>
      </c>
      <c r="J117" s="300">
        <f t="shared" si="8"/>
        <v>42922215.900000006</v>
      </c>
    </row>
    <row r="118" spans="1:10">
      <c r="A118" s="44" t="s">
        <v>711</v>
      </c>
      <c r="B118" s="47">
        <v>46251</v>
      </c>
      <c r="C118" s="40">
        <v>178</v>
      </c>
      <c r="D118" s="40">
        <v>817</v>
      </c>
      <c r="E118" s="40">
        <v>1376</v>
      </c>
      <c r="F118" s="42" t="s">
        <v>242</v>
      </c>
      <c r="G118" s="42" t="s">
        <v>242</v>
      </c>
      <c r="H118" s="37"/>
      <c r="I118" s="37">
        <v>119450</v>
      </c>
      <c r="J118" s="300">
        <f t="shared" si="8"/>
        <v>42802765.900000006</v>
      </c>
    </row>
    <row r="119" spans="1:10">
      <c r="A119" s="44" t="s">
        <v>494</v>
      </c>
      <c r="B119" s="47">
        <v>46252</v>
      </c>
      <c r="C119" s="40">
        <v>180</v>
      </c>
      <c r="D119" s="40">
        <v>825</v>
      </c>
      <c r="E119" s="40"/>
      <c r="F119" s="42" t="s">
        <v>269</v>
      </c>
      <c r="G119" s="42" t="s">
        <v>539</v>
      </c>
      <c r="H119" s="37"/>
      <c r="I119" s="37">
        <v>214825</v>
      </c>
      <c r="J119" s="300">
        <f t="shared" si="8"/>
        <v>42587940.900000006</v>
      </c>
    </row>
    <row r="120" spans="1:10">
      <c r="A120" s="44" t="s">
        <v>48</v>
      </c>
      <c r="B120" s="47">
        <v>46260</v>
      </c>
      <c r="C120" s="40">
        <v>37</v>
      </c>
      <c r="D120" s="40">
        <v>872</v>
      </c>
      <c r="E120" s="40"/>
      <c r="F120" s="42" t="s">
        <v>242</v>
      </c>
      <c r="G120" s="42" t="s">
        <v>674</v>
      </c>
      <c r="H120" s="37"/>
      <c r="I120" s="37">
        <v>214200</v>
      </c>
      <c r="J120" s="300">
        <f t="shared" si="8"/>
        <v>42373740.900000006</v>
      </c>
    </row>
    <row r="121" spans="1:10">
      <c r="B121" s="47">
        <v>46260</v>
      </c>
      <c r="C121" s="40">
        <v>182</v>
      </c>
      <c r="D121" s="40" t="s">
        <v>760</v>
      </c>
      <c r="E121" s="236"/>
      <c r="F121" s="42" t="s">
        <v>270</v>
      </c>
      <c r="G121" s="42" t="s">
        <v>682</v>
      </c>
      <c r="H121" s="37"/>
      <c r="I121" s="37">
        <v>338739</v>
      </c>
      <c r="J121" s="300">
        <f t="shared" si="8"/>
        <v>42035001.900000006</v>
      </c>
    </row>
    <row r="122" spans="1:10">
      <c r="A122" s="44" t="s">
        <v>711</v>
      </c>
      <c r="B122" s="47">
        <v>46261</v>
      </c>
      <c r="C122" s="40">
        <v>191</v>
      </c>
      <c r="D122" s="40">
        <v>880</v>
      </c>
      <c r="E122" s="40"/>
      <c r="F122" s="42" t="s">
        <v>258</v>
      </c>
      <c r="G122" s="42" t="s">
        <v>683</v>
      </c>
      <c r="H122" s="37"/>
      <c r="I122" s="37">
        <v>195798</v>
      </c>
      <c r="J122" s="300">
        <f t="shared" si="8"/>
        <v>41839203.900000006</v>
      </c>
    </row>
    <row r="123" spans="1:10">
      <c r="A123" s="44" t="s">
        <v>487</v>
      </c>
      <c r="B123" s="47">
        <v>280826</v>
      </c>
      <c r="C123" s="40">
        <v>200</v>
      </c>
      <c r="D123" s="40">
        <v>896</v>
      </c>
      <c r="E123" s="40">
        <v>1440</v>
      </c>
      <c r="F123" s="42" t="s">
        <v>517</v>
      </c>
      <c r="G123" s="42" t="s">
        <v>539</v>
      </c>
      <c r="H123" s="37"/>
      <c r="I123" s="37">
        <v>99499</v>
      </c>
      <c r="J123" s="300">
        <f t="shared" si="8"/>
        <v>41739704.900000006</v>
      </c>
    </row>
    <row r="124" spans="1:10">
      <c r="B124" s="47"/>
      <c r="C124" s="40"/>
      <c r="D124" s="40" t="s">
        <v>697</v>
      </c>
      <c r="E124" s="40">
        <v>1320</v>
      </c>
      <c r="F124" s="42" t="s">
        <v>250</v>
      </c>
      <c r="G124" s="42" t="s">
        <v>699</v>
      </c>
      <c r="H124" s="37"/>
      <c r="I124" s="37">
        <f>5123841+1460616+3797385+2774293+3971245+3472464+999633+451795</f>
        <v>22051272</v>
      </c>
      <c r="J124" s="300">
        <f t="shared" si="8"/>
        <v>19688432.900000006</v>
      </c>
    </row>
    <row r="125" spans="1:10" ht="10.5" customHeight="1">
      <c r="B125" s="47"/>
      <c r="C125" s="40"/>
      <c r="D125" s="40" t="s">
        <v>698</v>
      </c>
      <c r="E125" s="40">
        <v>1321</v>
      </c>
      <c r="F125" s="42" t="s">
        <v>250</v>
      </c>
      <c r="G125" s="42" t="s">
        <v>699</v>
      </c>
      <c r="H125" s="37"/>
      <c r="I125" s="37">
        <f>397032+183141</f>
        <v>580173</v>
      </c>
      <c r="J125" s="300">
        <f t="shared" si="8"/>
        <v>19108259.900000006</v>
      </c>
    </row>
    <row r="126" spans="1:10" ht="10.5" customHeight="1">
      <c r="B126" s="47"/>
      <c r="C126" s="40"/>
      <c r="D126" s="40" t="s">
        <v>704</v>
      </c>
      <c r="E126" s="40"/>
      <c r="F126" s="42" t="s">
        <v>250</v>
      </c>
      <c r="G126" s="42" t="s">
        <v>699</v>
      </c>
      <c r="H126" s="37"/>
      <c r="I126" s="37">
        <v>14039644</v>
      </c>
      <c r="J126" s="300">
        <f t="shared" si="8"/>
        <v>5068615.900000006</v>
      </c>
    </row>
    <row r="127" spans="1:10" ht="10.5" customHeight="1">
      <c r="A127" s="44" t="s">
        <v>711</v>
      </c>
      <c r="B127" s="47">
        <v>46259</v>
      </c>
      <c r="C127" s="40">
        <v>188</v>
      </c>
      <c r="D127" s="40" t="s">
        <v>744</v>
      </c>
      <c r="E127" s="236"/>
      <c r="F127" s="42" t="s">
        <v>269</v>
      </c>
      <c r="G127" s="42" t="s">
        <v>539</v>
      </c>
      <c r="H127" s="37"/>
      <c r="I127" s="37">
        <v>2082500</v>
      </c>
      <c r="J127" s="300">
        <f t="shared" si="8"/>
        <v>2986115.900000006</v>
      </c>
    </row>
    <row r="128" spans="1:10" ht="10.5" customHeight="1">
      <c r="B128" s="47"/>
      <c r="C128" s="40"/>
      <c r="D128" s="40"/>
      <c r="E128" s="40"/>
      <c r="F128" s="42"/>
      <c r="G128" s="42"/>
      <c r="H128" s="37"/>
      <c r="I128" s="37"/>
      <c r="J128" s="300">
        <f t="shared" si="8"/>
        <v>2986115.900000006</v>
      </c>
    </row>
    <row r="129" spans="1:10" ht="10.5" customHeight="1">
      <c r="B129" s="47"/>
      <c r="C129" s="40"/>
      <c r="D129" s="40"/>
      <c r="E129" s="40"/>
      <c r="F129" s="42"/>
      <c r="G129" s="42"/>
      <c r="H129" s="37"/>
      <c r="I129" s="37"/>
      <c r="J129" s="300">
        <f t="shared" si="8"/>
        <v>2986115.900000006</v>
      </c>
    </row>
    <row r="130" spans="1:10" ht="10.5" customHeight="1">
      <c r="B130" s="47"/>
      <c r="C130" s="40"/>
      <c r="D130" s="40"/>
      <c r="E130" s="40"/>
      <c r="F130" s="42"/>
      <c r="G130" s="42"/>
      <c r="H130" s="37"/>
      <c r="I130" s="37"/>
      <c r="J130" s="300">
        <f t="shared" si="8"/>
        <v>2986115.900000006</v>
      </c>
    </row>
    <row r="131" spans="1:10" ht="10.5" customHeight="1">
      <c r="B131" s="47"/>
      <c r="C131" s="40"/>
      <c r="D131" s="40"/>
      <c r="E131" s="40"/>
      <c r="F131" s="42"/>
      <c r="G131" s="42"/>
      <c r="H131" s="37"/>
      <c r="I131" s="37"/>
      <c r="J131" s="300">
        <f t="shared" si="8"/>
        <v>2986115.900000006</v>
      </c>
    </row>
    <row r="132" spans="1:10">
      <c r="B132" s="320" t="s">
        <v>131</v>
      </c>
      <c r="C132" s="321"/>
      <c r="D132" s="321"/>
      <c r="E132" s="321"/>
      <c r="F132" s="321"/>
      <c r="G132" s="321"/>
      <c r="H132" s="321"/>
      <c r="I132" s="321"/>
      <c r="J132" s="322"/>
    </row>
    <row r="133" spans="1:10">
      <c r="B133" s="47"/>
      <c r="C133" s="40"/>
      <c r="D133" s="40"/>
      <c r="E133" s="40"/>
      <c r="F133" s="42" t="s">
        <v>199</v>
      </c>
      <c r="G133" s="42" t="s">
        <v>199</v>
      </c>
      <c r="H133" s="37"/>
      <c r="I133" s="37">
        <v>20238210</v>
      </c>
      <c r="J133" s="300">
        <f>+J131+H133-I133</f>
        <v>-17252094.099999994</v>
      </c>
    </row>
    <row r="134" spans="1:10">
      <c r="B134" s="47"/>
      <c r="C134" s="40"/>
      <c r="D134" s="40"/>
      <c r="E134" s="40"/>
      <c r="F134" s="55" t="s">
        <v>327</v>
      </c>
      <c r="G134" s="55" t="s">
        <v>327</v>
      </c>
      <c r="H134" s="37"/>
      <c r="I134" s="37"/>
      <c r="J134" s="300">
        <f>+J133+H134-I134</f>
        <v>-17252094.099999994</v>
      </c>
    </row>
    <row r="135" spans="1:10">
      <c r="B135" s="47"/>
      <c r="C135" s="40"/>
      <c r="D135" s="40"/>
      <c r="E135" s="40"/>
      <c r="F135" s="55" t="s">
        <v>327</v>
      </c>
      <c r="G135" s="55" t="s">
        <v>327</v>
      </c>
      <c r="H135" s="37"/>
      <c r="I135" s="37"/>
      <c r="J135" s="300">
        <f t="shared" si="8"/>
        <v>-17252094.099999994</v>
      </c>
    </row>
    <row r="136" spans="1:10">
      <c r="B136" s="47"/>
      <c r="C136" s="40"/>
      <c r="D136" s="40"/>
      <c r="E136" s="40"/>
      <c r="F136" s="55" t="s">
        <v>327</v>
      </c>
      <c r="G136" s="55" t="s">
        <v>327</v>
      </c>
      <c r="H136" s="37"/>
      <c r="I136" s="37"/>
      <c r="J136" s="300">
        <f t="shared" si="8"/>
        <v>-17252094.099999994</v>
      </c>
    </row>
    <row r="137" spans="1:10">
      <c r="B137" s="47"/>
      <c r="C137" s="40"/>
      <c r="D137" s="40"/>
      <c r="E137" s="40"/>
      <c r="F137" s="42" t="s">
        <v>328</v>
      </c>
      <c r="G137" s="45" t="s">
        <v>329</v>
      </c>
      <c r="H137" s="37"/>
      <c r="I137" s="37"/>
      <c r="J137" s="300">
        <f t="shared" si="8"/>
        <v>-17252094.099999994</v>
      </c>
    </row>
    <row r="138" spans="1:10">
      <c r="A138" s="44" t="s">
        <v>711</v>
      </c>
      <c r="B138" s="47">
        <v>46266</v>
      </c>
      <c r="C138" s="40">
        <v>205</v>
      </c>
      <c r="D138" s="40">
        <v>908</v>
      </c>
      <c r="E138" s="40"/>
      <c r="F138" s="42" t="s">
        <v>242</v>
      </c>
      <c r="G138" s="45" t="s">
        <v>242</v>
      </c>
      <c r="H138" s="37"/>
      <c r="I138" s="37">
        <v>145180</v>
      </c>
      <c r="J138" s="300">
        <f>+J137+H138-I138</f>
        <v>-17397274.099999994</v>
      </c>
    </row>
    <row r="139" spans="1:10">
      <c r="A139" s="44" t="s">
        <v>711</v>
      </c>
      <c r="B139" s="47">
        <v>46266</v>
      </c>
      <c r="C139" s="40">
        <v>206</v>
      </c>
      <c r="D139" s="40">
        <v>909</v>
      </c>
      <c r="E139" s="40" t="s">
        <v>701</v>
      </c>
      <c r="F139" s="42" t="s">
        <v>242</v>
      </c>
      <c r="G139" s="45" t="s">
        <v>496</v>
      </c>
      <c r="H139" s="37"/>
      <c r="I139" s="37">
        <v>36355</v>
      </c>
      <c r="J139" s="300">
        <f t="shared" si="8"/>
        <v>-17433629.099999994</v>
      </c>
    </row>
    <row r="140" spans="1:10">
      <c r="A140" s="44" t="s">
        <v>711</v>
      </c>
      <c r="B140" s="47">
        <v>46266</v>
      </c>
      <c r="C140" s="40">
        <v>207</v>
      </c>
      <c r="D140" s="40">
        <v>910</v>
      </c>
      <c r="E140" s="40"/>
      <c r="F140" s="42" t="s">
        <v>323</v>
      </c>
      <c r="G140" s="45" t="s">
        <v>323</v>
      </c>
      <c r="H140" s="37"/>
      <c r="I140" s="37">
        <v>158084</v>
      </c>
      <c r="J140" s="300">
        <f t="shared" si="8"/>
        <v>-17591713.099999994</v>
      </c>
    </row>
    <row r="141" spans="1:10">
      <c r="A141" s="44" t="s">
        <v>167</v>
      </c>
      <c r="B141" s="47">
        <v>46269</v>
      </c>
      <c r="C141" s="40">
        <v>218</v>
      </c>
      <c r="D141" s="40">
        <v>941</v>
      </c>
      <c r="E141" s="40"/>
      <c r="F141" s="42" t="s">
        <v>269</v>
      </c>
      <c r="G141" s="45" t="s">
        <v>539</v>
      </c>
      <c r="H141" s="37"/>
      <c r="I141" s="37">
        <v>215150</v>
      </c>
      <c r="J141" s="300">
        <f t="shared" si="8"/>
        <v>-17806863.099999994</v>
      </c>
    </row>
    <row r="142" spans="1:10">
      <c r="A142" s="44" t="s">
        <v>711</v>
      </c>
      <c r="B142" s="47">
        <v>46274</v>
      </c>
      <c r="C142" s="40">
        <v>225</v>
      </c>
      <c r="D142" s="40">
        <v>972</v>
      </c>
      <c r="E142" s="40"/>
      <c r="F142" s="42" t="s">
        <v>323</v>
      </c>
      <c r="G142" s="42" t="s">
        <v>323</v>
      </c>
      <c r="H142" s="37"/>
      <c r="I142" s="37">
        <v>135200</v>
      </c>
      <c r="J142" s="300">
        <f t="shared" si="8"/>
        <v>-17942063.099999994</v>
      </c>
    </row>
    <row r="143" spans="1:10">
      <c r="A143" s="44" t="s">
        <v>494</v>
      </c>
      <c r="B143" s="41">
        <v>46295</v>
      </c>
      <c r="C143" s="40">
        <v>238</v>
      </c>
      <c r="D143" s="40">
        <v>1047</v>
      </c>
      <c r="E143" s="40" t="s">
        <v>701</v>
      </c>
      <c r="F143" s="45" t="s">
        <v>270</v>
      </c>
      <c r="G143" s="42" t="s">
        <v>641</v>
      </c>
      <c r="H143" s="61"/>
      <c r="I143" s="61">
        <v>170000</v>
      </c>
      <c r="J143" s="300">
        <f t="shared" si="8"/>
        <v>-18112063.099999994</v>
      </c>
    </row>
    <row r="144" spans="1:10">
      <c r="A144" s="44" t="s">
        <v>262</v>
      </c>
      <c r="B144" s="41">
        <v>46294</v>
      </c>
      <c r="C144" s="40">
        <v>37</v>
      </c>
      <c r="D144" s="40">
        <v>1040</v>
      </c>
      <c r="E144" s="236"/>
      <c r="F144" s="42" t="s">
        <v>242</v>
      </c>
      <c r="G144" s="42" t="s">
        <v>242</v>
      </c>
      <c r="H144" s="37"/>
      <c r="I144" s="37">
        <v>215100</v>
      </c>
      <c r="J144" s="300">
        <f t="shared" si="8"/>
        <v>-18327163.099999994</v>
      </c>
    </row>
    <row r="145" spans="1:23" s="87" customFormat="1">
      <c r="A145" s="87" t="s">
        <v>711</v>
      </c>
      <c r="B145" s="41">
        <v>46294</v>
      </c>
      <c r="C145" s="40">
        <v>237</v>
      </c>
      <c r="D145" s="40">
        <v>1046</v>
      </c>
      <c r="E145" s="236"/>
      <c r="F145" s="42" t="s">
        <v>242</v>
      </c>
      <c r="G145" s="42" t="s">
        <v>242</v>
      </c>
      <c r="H145" s="125"/>
      <c r="I145" s="212">
        <v>214000</v>
      </c>
      <c r="J145" s="300">
        <f t="shared" si="8"/>
        <v>-18541163.099999994</v>
      </c>
    </row>
    <row r="146" spans="1:23">
      <c r="B146" s="47"/>
      <c r="C146" s="40"/>
      <c r="D146" s="40"/>
      <c r="E146" s="40"/>
      <c r="F146" s="42"/>
      <c r="G146" s="45"/>
      <c r="H146" s="37"/>
      <c r="I146" s="37"/>
      <c r="J146" s="300">
        <f t="shared" si="8"/>
        <v>-18541163.099999994</v>
      </c>
    </row>
    <row r="147" spans="1:23">
      <c r="B147" s="320" t="s">
        <v>132</v>
      </c>
      <c r="C147" s="321"/>
      <c r="D147" s="321"/>
      <c r="E147" s="321"/>
      <c r="F147" s="321"/>
      <c r="G147" s="321"/>
      <c r="H147" s="321"/>
      <c r="I147" s="321"/>
      <c r="J147" s="322"/>
    </row>
    <row r="148" spans="1:23">
      <c r="B148" s="47"/>
      <c r="C148" s="40"/>
      <c r="D148" s="40"/>
      <c r="E148" s="40"/>
      <c r="F148" s="42" t="s">
        <v>199</v>
      </c>
      <c r="G148" s="45" t="s">
        <v>199</v>
      </c>
      <c r="H148" s="37"/>
      <c r="I148" s="37"/>
      <c r="J148" s="300">
        <f>+J146+H148-I148</f>
        <v>-18541163.099999994</v>
      </c>
    </row>
    <row r="149" spans="1:23">
      <c r="B149" s="47"/>
      <c r="C149" s="40"/>
      <c r="D149" s="40"/>
      <c r="E149" s="40"/>
      <c r="F149" s="55" t="s">
        <v>327</v>
      </c>
      <c r="G149" s="55" t="s">
        <v>327</v>
      </c>
      <c r="H149" s="37"/>
      <c r="I149" s="37"/>
      <c r="J149" s="300">
        <f t="shared" si="8"/>
        <v>-18541163.099999994</v>
      </c>
    </row>
    <row r="150" spans="1:23">
      <c r="A150" s="35"/>
      <c r="B150" s="47"/>
      <c r="C150" s="40"/>
      <c r="D150" s="40"/>
      <c r="E150" s="40"/>
      <c r="F150" s="55" t="s">
        <v>327</v>
      </c>
      <c r="G150" s="55" t="s">
        <v>327</v>
      </c>
      <c r="H150" s="37"/>
      <c r="I150" s="37"/>
      <c r="J150" s="300">
        <f t="shared" si="8"/>
        <v>-18541163.099999994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</row>
    <row r="151" spans="1:23">
      <c r="A151" s="35"/>
      <c r="B151" s="47"/>
      <c r="C151" s="40"/>
      <c r="D151" s="40"/>
      <c r="E151" s="40"/>
      <c r="F151" s="55" t="s">
        <v>327</v>
      </c>
      <c r="G151" s="55" t="s">
        <v>327</v>
      </c>
      <c r="H151" s="37"/>
      <c r="I151" s="37"/>
      <c r="J151" s="300">
        <f t="shared" si="8"/>
        <v>-18541163.099999994</v>
      </c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</row>
    <row r="152" spans="1:23">
      <c r="A152" s="35"/>
      <c r="B152" s="47"/>
      <c r="C152" s="40"/>
      <c r="D152" s="40"/>
      <c r="E152" s="40"/>
      <c r="F152" s="42" t="s">
        <v>328</v>
      </c>
      <c r="G152" s="45" t="s">
        <v>329</v>
      </c>
      <c r="H152" s="37"/>
      <c r="I152" s="37"/>
      <c r="J152" s="300">
        <f t="shared" si="8"/>
        <v>-18541163.099999994</v>
      </c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</row>
    <row r="153" spans="1:23">
      <c r="A153" s="35"/>
      <c r="B153" s="47"/>
      <c r="C153" s="40"/>
      <c r="D153" s="40"/>
      <c r="E153" s="40"/>
      <c r="F153" s="42"/>
      <c r="G153" s="45"/>
      <c r="H153" s="37"/>
      <c r="I153" s="37"/>
      <c r="J153" s="300">
        <f t="shared" si="8"/>
        <v>-18541163.099999994</v>
      </c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</row>
    <row r="154" spans="1:23">
      <c r="A154" s="35"/>
      <c r="B154" s="47"/>
      <c r="C154" s="40"/>
      <c r="D154" s="40"/>
      <c r="E154" s="40"/>
      <c r="F154" s="42"/>
      <c r="G154" s="42"/>
      <c r="H154" s="37"/>
      <c r="I154" s="37"/>
      <c r="J154" s="300">
        <f t="shared" si="8"/>
        <v>-18541163.099999994</v>
      </c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</row>
    <row r="155" spans="1:23">
      <c r="A155" s="35"/>
      <c r="B155" s="47"/>
      <c r="C155" s="40"/>
      <c r="D155" s="40"/>
      <c r="E155" s="40"/>
      <c r="F155" s="42"/>
      <c r="G155" s="42"/>
      <c r="H155" s="37"/>
      <c r="I155" s="37"/>
      <c r="J155" s="300">
        <f t="shared" si="8"/>
        <v>-18541163.099999994</v>
      </c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</row>
    <row r="156" spans="1:23">
      <c r="A156" s="35"/>
      <c r="B156" s="47"/>
      <c r="C156" s="40"/>
      <c r="D156" s="40"/>
      <c r="E156" s="40"/>
      <c r="F156" s="42"/>
      <c r="G156" s="45"/>
      <c r="H156" s="37"/>
      <c r="I156" s="37"/>
      <c r="J156" s="300">
        <f t="shared" si="8"/>
        <v>-18541163.099999994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</row>
    <row r="157" spans="1:23">
      <c r="A157" s="35"/>
      <c r="B157" s="47"/>
      <c r="C157" s="40"/>
      <c r="D157" s="40"/>
      <c r="E157" s="40"/>
      <c r="F157" s="42"/>
      <c r="G157" s="45"/>
      <c r="H157" s="37"/>
      <c r="I157" s="37"/>
      <c r="J157" s="300">
        <f t="shared" si="8"/>
        <v>-18541163.099999994</v>
      </c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</row>
    <row r="158" spans="1:23">
      <c r="A158" s="35"/>
      <c r="B158" s="47"/>
      <c r="C158" s="40"/>
      <c r="D158" s="40"/>
      <c r="E158" s="40"/>
      <c r="F158" s="42"/>
      <c r="G158" s="45"/>
      <c r="H158" s="37"/>
      <c r="I158" s="37"/>
      <c r="J158" s="300">
        <f t="shared" si="8"/>
        <v>-18541163.099999994</v>
      </c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</row>
    <row r="159" spans="1:23">
      <c r="A159" s="35"/>
      <c r="B159" s="47"/>
      <c r="C159" s="40"/>
      <c r="D159" s="40"/>
      <c r="E159" s="40"/>
      <c r="F159" s="42"/>
      <c r="G159" s="45"/>
      <c r="H159" s="37"/>
      <c r="I159" s="37"/>
      <c r="J159" s="300">
        <f t="shared" si="8"/>
        <v>-18541163.099999994</v>
      </c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</row>
    <row r="160" spans="1:23">
      <c r="A160" s="35"/>
      <c r="B160" s="47"/>
      <c r="C160" s="40"/>
      <c r="D160" s="40"/>
      <c r="E160" s="40"/>
      <c r="F160" s="42"/>
      <c r="G160" s="42"/>
      <c r="H160" s="37"/>
      <c r="I160" s="37"/>
      <c r="J160" s="300">
        <f t="shared" si="8"/>
        <v>-18541163.099999994</v>
      </c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</row>
    <row r="161" spans="1:23">
      <c r="A161" s="35"/>
      <c r="B161" s="47"/>
      <c r="C161" s="40"/>
      <c r="D161" s="40"/>
      <c r="E161" s="40"/>
      <c r="F161" s="42"/>
      <c r="G161" s="42"/>
      <c r="H161" s="37"/>
      <c r="I161" s="37"/>
      <c r="J161" s="300">
        <f t="shared" si="8"/>
        <v>-18541163.099999994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</row>
    <row r="162" spans="1:23">
      <c r="A162" s="35"/>
      <c r="B162" s="47"/>
      <c r="C162" s="40"/>
      <c r="D162" s="40"/>
      <c r="E162" s="40"/>
      <c r="F162" s="42"/>
      <c r="G162" s="42"/>
      <c r="H162" s="37"/>
      <c r="I162" s="37"/>
      <c r="J162" s="300">
        <f t="shared" si="8"/>
        <v>-18541163.099999994</v>
      </c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</row>
    <row r="163" spans="1:23">
      <c r="A163" s="35"/>
      <c r="B163" s="47"/>
      <c r="C163" s="40"/>
      <c r="D163" s="40"/>
      <c r="E163" s="40"/>
      <c r="F163" s="42"/>
      <c r="G163" s="42"/>
      <c r="H163" s="37"/>
      <c r="I163" s="37"/>
      <c r="J163" s="300">
        <f t="shared" si="8"/>
        <v>-18541163.099999994</v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</row>
    <row r="164" spans="1:23">
      <c r="A164" s="35"/>
      <c r="B164" s="47"/>
      <c r="C164" s="40"/>
      <c r="D164" s="40"/>
      <c r="E164" s="40"/>
      <c r="F164" s="42"/>
      <c r="G164" s="42"/>
      <c r="H164" s="37"/>
      <c r="I164" s="37"/>
      <c r="J164" s="300">
        <f t="shared" si="8"/>
        <v>-18541163.099999994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</row>
    <row r="165" spans="1:23">
      <c r="A165" s="35"/>
      <c r="B165" s="47"/>
      <c r="C165" s="40"/>
      <c r="D165" s="40"/>
      <c r="E165" s="40"/>
      <c r="F165" s="42"/>
      <c r="G165" s="42"/>
      <c r="H165" s="37"/>
      <c r="I165" s="37"/>
      <c r="J165" s="300">
        <f t="shared" si="8"/>
        <v>-18541163.099999994</v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</row>
    <row r="166" spans="1:23">
      <c r="A166" s="35"/>
      <c r="B166" s="47"/>
      <c r="C166" s="40"/>
      <c r="D166" s="40"/>
      <c r="E166" s="40"/>
      <c r="F166" s="42"/>
      <c r="G166" s="42"/>
      <c r="H166" s="37"/>
      <c r="I166" s="37"/>
      <c r="J166" s="300">
        <f t="shared" si="8"/>
        <v>-18541163.099999994</v>
      </c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</row>
    <row r="167" spans="1:23">
      <c r="A167" s="35"/>
      <c r="B167" s="47"/>
      <c r="C167" s="40"/>
      <c r="D167" s="40"/>
      <c r="E167" s="40"/>
      <c r="F167" s="42"/>
      <c r="G167" s="42"/>
      <c r="H167" s="37"/>
      <c r="I167" s="37"/>
      <c r="J167" s="300">
        <f t="shared" si="8"/>
        <v>-18541163.099999994</v>
      </c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</row>
    <row r="168" spans="1:23">
      <c r="A168" s="35"/>
      <c r="B168" s="47"/>
      <c r="C168" s="40"/>
      <c r="D168" s="40"/>
      <c r="E168" s="40"/>
      <c r="F168" s="42"/>
      <c r="G168" s="42"/>
      <c r="H168" s="37"/>
      <c r="I168" s="37"/>
      <c r="J168" s="300">
        <f t="shared" si="8"/>
        <v>-18541163.099999994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</row>
    <row r="169" spans="1:23">
      <c r="A169" s="35"/>
      <c r="B169" s="47"/>
      <c r="C169" s="40"/>
      <c r="D169" s="40"/>
      <c r="E169" s="40"/>
      <c r="F169" s="42"/>
      <c r="G169" s="42"/>
      <c r="H169" s="37"/>
      <c r="I169" s="37"/>
      <c r="J169" s="300">
        <f t="shared" si="8"/>
        <v>-18541163.099999994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</row>
    <row r="170" spans="1:23">
      <c r="A170" s="35"/>
      <c r="B170" s="47"/>
      <c r="C170" s="40"/>
      <c r="D170" s="40"/>
      <c r="E170" s="40"/>
      <c r="F170" s="42"/>
      <c r="G170" s="42"/>
      <c r="H170" s="37"/>
      <c r="I170" s="37"/>
      <c r="J170" s="300">
        <f t="shared" si="8"/>
        <v>-18541163.099999994</v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</row>
    <row r="171" spans="1:23">
      <c r="A171" s="35"/>
      <c r="B171" s="47"/>
      <c r="C171" s="40"/>
      <c r="D171" s="40"/>
      <c r="E171" s="40"/>
      <c r="F171" s="42"/>
      <c r="G171" s="42"/>
      <c r="H171" s="37"/>
      <c r="I171" s="37"/>
      <c r="J171" s="300">
        <f t="shared" si="8"/>
        <v>-18541163.099999994</v>
      </c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</row>
    <row r="172" spans="1:23">
      <c r="A172" s="35"/>
      <c r="B172" s="47"/>
      <c r="C172" s="40"/>
      <c r="D172" s="40"/>
      <c r="E172" s="40"/>
      <c r="F172" s="42"/>
      <c r="G172" s="42"/>
      <c r="H172" s="37"/>
      <c r="I172" s="37"/>
      <c r="J172" s="300">
        <f t="shared" si="8"/>
        <v>-18541163.099999994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</row>
    <row r="173" spans="1:23">
      <c r="A173" s="35"/>
      <c r="B173" s="320" t="s">
        <v>133</v>
      </c>
      <c r="C173" s="321"/>
      <c r="D173" s="321"/>
      <c r="E173" s="321"/>
      <c r="F173" s="321"/>
      <c r="G173" s="321"/>
      <c r="H173" s="321"/>
      <c r="I173" s="321"/>
      <c r="J173" s="322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</row>
    <row r="174" spans="1:23">
      <c r="A174" s="35"/>
      <c r="B174" s="47"/>
      <c r="C174" s="40"/>
      <c r="D174" s="40"/>
      <c r="E174" s="40"/>
      <c r="F174" s="42" t="s">
        <v>199</v>
      </c>
      <c r="G174" s="45" t="s">
        <v>199</v>
      </c>
      <c r="H174" s="37"/>
      <c r="I174" s="37"/>
      <c r="J174" s="300">
        <f>+J172+H174-I174</f>
        <v>-18541163.099999994</v>
      </c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</row>
    <row r="175" spans="1:23">
      <c r="A175" s="85"/>
      <c r="B175" s="47"/>
      <c r="C175" s="40"/>
      <c r="D175" s="40"/>
      <c r="E175" s="40"/>
      <c r="F175" s="55" t="s">
        <v>327</v>
      </c>
      <c r="G175" s="55" t="s">
        <v>327</v>
      </c>
      <c r="H175" s="37"/>
      <c r="I175" s="37"/>
      <c r="J175" s="300">
        <f>+J174+H175-I175</f>
        <v>-18541163.099999994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</row>
    <row r="176" spans="1:23">
      <c r="A176" s="85"/>
      <c r="B176" s="47"/>
      <c r="C176" s="40"/>
      <c r="D176" s="40"/>
      <c r="E176" s="40"/>
      <c r="F176" s="55" t="s">
        <v>327</v>
      </c>
      <c r="G176" s="55" t="s">
        <v>327</v>
      </c>
      <c r="H176" s="37"/>
      <c r="I176" s="37"/>
      <c r="J176" s="300">
        <f t="shared" ref="J176:J227" si="9">+J175+H176-I176</f>
        <v>-18541163.099999994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</row>
    <row r="177" spans="1:23">
      <c r="A177" s="85"/>
      <c r="B177" s="47"/>
      <c r="C177" s="40"/>
      <c r="D177" s="40"/>
      <c r="E177" s="40"/>
      <c r="F177" s="55" t="s">
        <v>327</v>
      </c>
      <c r="G177" s="55" t="s">
        <v>327</v>
      </c>
      <c r="H177" s="37"/>
      <c r="I177" s="37"/>
      <c r="J177" s="300">
        <f t="shared" si="9"/>
        <v>-18541163.099999994</v>
      </c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</row>
    <row r="178" spans="1:23">
      <c r="A178" s="35"/>
      <c r="B178" s="47"/>
      <c r="C178" s="40"/>
      <c r="D178" s="40"/>
      <c r="E178" s="40"/>
      <c r="F178" s="42" t="s">
        <v>328</v>
      </c>
      <c r="G178" s="45" t="s">
        <v>329</v>
      </c>
      <c r="H178" s="37"/>
      <c r="I178" s="37"/>
      <c r="J178" s="300">
        <f t="shared" si="9"/>
        <v>-18541163.099999994</v>
      </c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</row>
    <row r="179" spans="1:23">
      <c r="A179" s="35"/>
      <c r="B179" s="47"/>
      <c r="C179" s="40"/>
      <c r="D179" s="40"/>
      <c r="E179" s="40"/>
      <c r="F179" s="42"/>
      <c r="G179" s="45"/>
      <c r="H179" s="37"/>
      <c r="I179" s="37"/>
      <c r="J179" s="300">
        <f t="shared" si="9"/>
        <v>-18541163.099999994</v>
      </c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</row>
    <row r="180" spans="1:23">
      <c r="A180" s="35"/>
      <c r="B180" s="47"/>
      <c r="C180" s="40"/>
      <c r="D180" s="40"/>
      <c r="E180" s="40"/>
      <c r="F180" s="42"/>
      <c r="G180" s="42"/>
      <c r="H180" s="37"/>
      <c r="I180" s="37"/>
      <c r="J180" s="300">
        <f t="shared" si="9"/>
        <v>-18541163.099999994</v>
      </c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</row>
    <row r="181" spans="1:23">
      <c r="A181" s="35"/>
      <c r="B181" s="47"/>
      <c r="C181" s="40"/>
      <c r="D181" s="40"/>
      <c r="E181" s="40"/>
      <c r="F181" s="42"/>
      <c r="G181" s="45"/>
      <c r="H181" s="37"/>
      <c r="I181" s="37"/>
      <c r="J181" s="300">
        <f t="shared" si="9"/>
        <v>-18541163.099999994</v>
      </c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</row>
    <row r="182" spans="1:23">
      <c r="A182" s="35"/>
      <c r="B182" s="47"/>
      <c r="C182" s="40"/>
      <c r="D182" s="40"/>
      <c r="E182" s="40"/>
      <c r="F182" s="42"/>
      <c r="G182" s="42"/>
      <c r="H182" s="37"/>
      <c r="I182" s="37"/>
      <c r="J182" s="300">
        <f>+J181+H182-I182</f>
        <v>-18541163.099999994</v>
      </c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</row>
    <row r="183" spans="1:23">
      <c r="A183" s="35"/>
      <c r="B183" s="47"/>
      <c r="C183" s="40"/>
      <c r="D183" s="40"/>
      <c r="E183" s="40"/>
      <c r="F183" s="42"/>
      <c r="G183" s="45"/>
      <c r="H183" s="37"/>
      <c r="I183" s="37"/>
      <c r="J183" s="300">
        <f t="shared" si="9"/>
        <v>-18541163.099999994</v>
      </c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</row>
    <row r="184" spans="1:23">
      <c r="A184" s="35"/>
      <c r="B184" s="47"/>
      <c r="C184" s="40"/>
      <c r="D184" s="40"/>
      <c r="E184" s="40"/>
      <c r="F184" s="42"/>
      <c r="G184" s="45"/>
      <c r="H184" s="37"/>
      <c r="I184" s="37"/>
      <c r="J184" s="300">
        <f t="shared" si="9"/>
        <v>-18541163.099999994</v>
      </c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</row>
    <row r="185" spans="1:23">
      <c r="A185" s="35"/>
      <c r="B185" s="47"/>
      <c r="C185" s="40"/>
      <c r="D185" s="40"/>
      <c r="E185" s="40"/>
      <c r="F185" s="42"/>
      <c r="G185" s="45"/>
      <c r="H185" s="37"/>
      <c r="I185" s="37"/>
      <c r="J185" s="300">
        <f t="shared" si="9"/>
        <v>-18541163.099999994</v>
      </c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</row>
    <row r="186" spans="1:23">
      <c r="A186" s="35"/>
      <c r="B186" s="47"/>
      <c r="C186" s="40"/>
      <c r="D186" s="40"/>
      <c r="E186" s="40"/>
      <c r="F186" s="42"/>
      <c r="G186" s="42"/>
      <c r="H186" s="37"/>
      <c r="I186" s="37"/>
      <c r="J186" s="300">
        <f t="shared" si="9"/>
        <v>-18541163.099999994</v>
      </c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</row>
    <row r="187" spans="1:23">
      <c r="A187" s="35"/>
      <c r="B187" s="47"/>
      <c r="C187" s="40"/>
      <c r="D187" s="40"/>
      <c r="E187" s="40"/>
      <c r="F187" s="42"/>
      <c r="G187" s="42"/>
      <c r="H187" s="37"/>
      <c r="I187" s="37"/>
      <c r="J187" s="300">
        <f t="shared" si="9"/>
        <v>-18541163.099999994</v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</row>
    <row r="188" spans="1:23">
      <c r="A188" s="35"/>
      <c r="B188" s="47"/>
      <c r="C188" s="40"/>
      <c r="D188" s="40"/>
      <c r="E188" s="40"/>
      <c r="F188" s="42"/>
      <c r="G188" s="42"/>
      <c r="H188" s="37"/>
      <c r="I188" s="37"/>
      <c r="J188" s="300">
        <f t="shared" si="9"/>
        <v>-18541163.099999994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</row>
    <row r="189" spans="1:23">
      <c r="A189" s="35"/>
      <c r="B189" s="47"/>
      <c r="C189" s="40"/>
      <c r="D189" s="40"/>
      <c r="E189" s="40"/>
      <c r="F189" s="42"/>
      <c r="G189" s="42"/>
      <c r="H189" s="37"/>
      <c r="I189" s="37"/>
      <c r="J189" s="300">
        <f t="shared" si="9"/>
        <v>-18541163.099999994</v>
      </c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</row>
    <row r="190" spans="1:23">
      <c r="A190" s="35"/>
      <c r="B190" s="47"/>
      <c r="C190" s="40"/>
      <c r="D190" s="40"/>
      <c r="E190" s="40"/>
      <c r="F190" s="42"/>
      <c r="G190" s="42"/>
      <c r="H190" s="37"/>
      <c r="I190" s="37"/>
      <c r="J190" s="300">
        <f t="shared" si="9"/>
        <v>-18541163.099999994</v>
      </c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</row>
    <row r="191" spans="1:23">
      <c r="A191" s="35"/>
      <c r="B191" s="47"/>
      <c r="C191" s="40"/>
      <c r="D191" s="40"/>
      <c r="E191" s="40"/>
      <c r="F191" s="42"/>
      <c r="G191" s="42"/>
      <c r="H191" s="37"/>
      <c r="I191" s="37"/>
      <c r="J191" s="300">
        <f t="shared" si="9"/>
        <v>-18541163.099999994</v>
      </c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</row>
    <row r="192" spans="1:23">
      <c r="A192" s="35"/>
      <c r="B192" s="47"/>
      <c r="C192" s="40"/>
      <c r="D192" s="40"/>
      <c r="E192" s="40"/>
      <c r="F192" s="199"/>
      <c r="G192" s="199"/>
      <c r="H192" s="37"/>
      <c r="I192" s="37"/>
      <c r="J192" s="300">
        <f t="shared" si="9"/>
        <v>-18541163.099999994</v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</row>
    <row r="193" spans="1:23">
      <c r="A193" s="35"/>
      <c r="B193" s="47"/>
      <c r="C193" s="40"/>
      <c r="D193" s="40"/>
      <c r="E193" s="40"/>
      <c r="F193" s="42"/>
      <c r="G193" s="42"/>
      <c r="H193" s="37"/>
      <c r="I193" s="37"/>
      <c r="J193" s="300">
        <f t="shared" si="9"/>
        <v>-18541163.099999994</v>
      </c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</row>
    <row r="194" spans="1:23">
      <c r="A194" s="35"/>
      <c r="B194" s="47"/>
      <c r="C194" s="40"/>
      <c r="D194" s="40"/>
      <c r="E194" s="40"/>
      <c r="F194" s="42"/>
      <c r="G194" s="42"/>
      <c r="H194" s="37"/>
      <c r="I194" s="37"/>
      <c r="J194" s="300">
        <f t="shared" si="9"/>
        <v>-18541163.099999994</v>
      </c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</row>
    <row r="195" spans="1:23">
      <c r="A195" s="35"/>
      <c r="B195" s="47"/>
      <c r="C195" s="40"/>
      <c r="D195" s="40"/>
      <c r="E195" s="40"/>
      <c r="F195" s="42"/>
      <c r="G195" s="42"/>
      <c r="H195" s="37"/>
      <c r="I195" s="37"/>
      <c r="J195" s="300">
        <f t="shared" si="9"/>
        <v>-18541163.099999994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</row>
    <row r="196" spans="1:23">
      <c r="A196" s="35"/>
      <c r="B196" s="47"/>
      <c r="C196" s="40"/>
      <c r="D196" s="40"/>
      <c r="E196" s="40"/>
      <c r="F196" s="42"/>
      <c r="G196" s="42"/>
      <c r="H196" s="37"/>
      <c r="I196" s="37"/>
      <c r="J196" s="300">
        <f t="shared" si="9"/>
        <v>-18541163.099999994</v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</row>
    <row r="197" spans="1:23">
      <c r="A197" s="35"/>
      <c r="B197" s="47"/>
      <c r="C197" s="40"/>
      <c r="D197" s="40"/>
      <c r="E197" s="40"/>
      <c r="F197" s="42"/>
      <c r="G197" s="42"/>
      <c r="H197" s="37"/>
      <c r="I197" s="37"/>
      <c r="J197" s="300">
        <f t="shared" si="9"/>
        <v>-18541163.099999994</v>
      </c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</row>
    <row r="198" spans="1:23">
      <c r="A198" s="35"/>
      <c r="B198" s="294"/>
      <c r="C198" s="224"/>
      <c r="D198" s="224"/>
      <c r="E198" s="224"/>
      <c r="F198" s="262"/>
      <c r="G198" s="262"/>
      <c r="H198" s="127"/>
      <c r="I198" s="101"/>
      <c r="J198" s="300">
        <f t="shared" si="9"/>
        <v>-18541163.099999994</v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</row>
    <row r="199" spans="1:23">
      <c r="A199" s="35"/>
      <c r="B199" s="294"/>
      <c r="C199" s="224"/>
      <c r="D199" s="224"/>
      <c r="E199" s="224"/>
      <c r="F199" s="262"/>
      <c r="G199" s="262"/>
      <c r="H199" s="127"/>
      <c r="I199" s="101"/>
      <c r="J199" s="300">
        <f t="shared" si="9"/>
        <v>-18541163.099999994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</row>
    <row r="200" spans="1:23">
      <c r="B200" s="295"/>
      <c r="C200" s="224"/>
      <c r="D200" s="224"/>
      <c r="E200" s="224"/>
      <c r="F200" s="42"/>
      <c r="G200" s="42"/>
      <c r="H200" s="127"/>
      <c r="I200" s="127"/>
      <c r="J200" s="300">
        <f t="shared" si="9"/>
        <v>-18541163.099999994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</row>
    <row r="201" spans="1:23">
      <c r="A201" s="35"/>
      <c r="B201" s="47"/>
      <c r="C201" s="40"/>
      <c r="D201" s="40"/>
      <c r="E201" s="40"/>
      <c r="F201" s="42"/>
      <c r="G201" s="42"/>
      <c r="H201" s="37"/>
      <c r="I201" s="37"/>
      <c r="J201" s="300">
        <f t="shared" si="9"/>
        <v>-18541163.099999994</v>
      </c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</row>
    <row r="202" spans="1:23">
      <c r="A202" s="35"/>
      <c r="B202" s="47"/>
      <c r="C202" s="40"/>
      <c r="D202" s="40"/>
      <c r="E202" s="40"/>
      <c r="F202" s="42"/>
      <c r="G202" s="42"/>
      <c r="H202" s="37"/>
      <c r="I202" s="37"/>
      <c r="J202" s="300">
        <f t="shared" si="9"/>
        <v>-18541163.099999994</v>
      </c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</row>
    <row r="203" spans="1:23">
      <c r="A203" s="35"/>
      <c r="B203" s="47"/>
      <c r="C203" s="40"/>
      <c r="D203" s="40"/>
      <c r="E203" s="40"/>
      <c r="F203" s="42"/>
      <c r="G203" s="42"/>
      <c r="H203" s="37"/>
      <c r="I203" s="37"/>
      <c r="J203" s="300">
        <f t="shared" si="9"/>
        <v>-18541163.099999994</v>
      </c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</row>
    <row r="204" spans="1:23">
      <c r="A204" s="35"/>
      <c r="B204" s="47"/>
      <c r="C204" s="40"/>
      <c r="D204" s="40"/>
      <c r="E204" s="40"/>
      <c r="F204" s="42"/>
      <c r="G204" s="42"/>
      <c r="H204" s="37"/>
      <c r="I204" s="37"/>
      <c r="J204" s="300">
        <f t="shared" si="9"/>
        <v>-18541163.099999994</v>
      </c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</row>
    <row r="205" spans="1:23">
      <c r="A205" s="35"/>
      <c r="B205" s="47"/>
      <c r="C205" s="40"/>
      <c r="D205" s="40"/>
      <c r="E205" s="40"/>
      <c r="F205" s="42"/>
      <c r="G205" s="42"/>
      <c r="H205" s="37"/>
      <c r="I205" s="37"/>
      <c r="J205" s="300">
        <f t="shared" si="9"/>
        <v>-18541163.099999994</v>
      </c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</row>
    <row r="206" spans="1:23">
      <c r="A206" s="35"/>
      <c r="B206" s="47"/>
      <c r="C206" s="40"/>
      <c r="D206" s="40"/>
      <c r="E206" s="224"/>
      <c r="F206" s="262"/>
      <c r="G206" s="127"/>
      <c r="H206" s="127"/>
      <c r="I206" s="127"/>
      <c r="J206" s="300">
        <f t="shared" si="9"/>
        <v>-18541163.099999994</v>
      </c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</row>
    <row r="207" spans="1:23">
      <c r="A207" s="35"/>
      <c r="B207" s="47"/>
      <c r="C207" s="40"/>
      <c r="D207" s="40"/>
      <c r="E207" s="224"/>
      <c r="F207" s="262"/>
      <c r="G207" s="127"/>
      <c r="H207" s="127"/>
      <c r="I207" s="111"/>
      <c r="J207" s="300">
        <f t="shared" si="9"/>
        <v>-18541163.099999994</v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</row>
    <row r="208" spans="1:23">
      <c r="A208" s="35"/>
      <c r="B208" s="47"/>
      <c r="C208" s="40"/>
      <c r="D208" s="40"/>
      <c r="E208" s="40"/>
      <c r="F208" s="42"/>
      <c r="G208" s="45"/>
      <c r="H208" s="37"/>
      <c r="I208" s="37"/>
      <c r="J208" s="300">
        <f t="shared" si="9"/>
        <v>-18541163.099999994</v>
      </c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</row>
    <row r="209" spans="1:23">
      <c r="A209" s="35"/>
      <c r="B209" s="47"/>
      <c r="C209" s="40"/>
      <c r="D209" s="40"/>
      <c r="E209" s="40"/>
      <c r="F209" s="42"/>
      <c r="G209" s="45"/>
      <c r="H209" s="37"/>
      <c r="I209" s="37"/>
      <c r="J209" s="300">
        <f t="shared" si="9"/>
        <v>-18541163.099999994</v>
      </c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</row>
    <row r="210" spans="1:23">
      <c r="A210" s="35"/>
      <c r="B210" s="47"/>
      <c r="C210" s="40"/>
      <c r="D210" s="40"/>
      <c r="E210" s="40"/>
      <c r="F210" s="42"/>
      <c r="G210" s="45"/>
      <c r="H210" s="37"/>
      <c r="I210" s="37"/>
      <c r="J210" s="300">
        <f t="shared" si="9"/>
        <v>-18541163.099999994</v>
      </c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</row>
    <row r="211" spans="1:23">
      <c r="A211" s="35"/>
      <c r="B211" s="47"/>
      <c r="C211" s="40"/>
      <c r="D211" s="40"/>
      <c r="E211" s="40"/>
      <c r="F211" s="42"/>
      <c r="G211" s="45"/>
      <c r="H211" s="37"/>
      <c r="I211" s="37"/>
      <c r="J211" s="300">
        <f t="shared" si="9"/>
        <v>-18541163.099999994</v>
      </c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</row>
    <row r="212" spans="1:23">
      <c r="A212" s="35"/>
      <c r="B212" s="47"/>
      <c r="C212" s="40"/>
      <c r="D212" s="40"/>
      <c r="E212" s="40"/>
      <c r="F212" s="42"/>
      <c r="G212" s="42"/>
      <c r="H212" s="37"/>
      <c r="I212" s="37"/>
      <c r="J212" s="300">
        <f t="shared" si="9"/>
        <v>-18541163.099999994</v>
      </c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</row>
    <row r="213" spans="1:23">
      <c r="A213" s="35"/>
      <c r="B213" s="47"/>
      <c r="C213" s="40"/>
      <c r="D213" s="40"/>
      <c r="E213" s="40"/>
      <c r="F213" s="42"/>
      <c r="G213" s="45"/>
      <c r="H213" s="37"/>
      <c r="I213" s="37"/>
      <c r="J213" s="300">
        <f t="shared" si="9"/>
        <v>-18541163.099999994</v>
      </c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</row>
    <row r="214" spans="1:23">
      <c r="A214" s="35"/>
      <c r="B214" s="47"/>
      <c r="C214" s="40"/>
      <c r="D214" s="40"/>
      <c r="E214" s="40"/>
      <c r="F214" s="42"/>
      <c r="G214" s="42"/>
      <c r="H214" s="37"/>
      <c r="I214" s="37"/>
      <c r="J214" s="300">
        <f t="shared" si="9"/>
        <v>-18541163.099999994</v>
      </c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</row>
    <row r="215" spans="1:23">
      <c r="A215" s="35"/>
      <c r="B215" s="47"/>
      <c r="C215" s="40"/>
      <c r="D215" s="40"/>
      <c r="E215" s="40"/>
      <c r="F215" s="42"/>
      <c r="G215" s="42"/>
      <c r="H215" s="37"/>
      <c r="I215" s="37"/>
      <c r="J215" s="300">
        <f t="shared" si="9"/>
        <v>-18541163.099999994</v>
      </c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</row>
    <row r="216" spans="1:23">
      <c r="A216" s="35"/>
      <c r="B216" s="41"/>
      <c r="C216" s="42"/>
      <c r="D216" s="40"/>
      <c r="E216" s="40"/>
      <c r="F216" s="42"/>
      <c r="G216" s="42"/>
      <c r="H216" s="37"/>
      <c r="I216" s="37"/>
      <c r="J216" s="300">
        <f t="shared" si="9"/>
        <v>-18541163.099999994</v>
      </c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</row>
    <row r="217" spans="1:23">
      <c r="A217" s="35"/>
      <c r="B217" s="47"/>
      <c r="C217" s="40"/>
      <c r="D217" s="40"/>
      <c r="E217" s="40"/>
      <c r="F217" s="42"/>
      <c r="G217" s="45"/>
      <c r="H217" s="37"/>
      <c r="I217" s="37"/>
      <c r="J217" s="300">
        <f t="shared" si="9"/>
        <v>-18541163.099999994</v>
      </c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</row>
    <row r="218" spans="1:23">
      <c r="A218" s="35"/>
      <c r="B218" s="47"/>
      <c r="C218" s="40"/>
      <c r="D218" s="40"/>
      <c r="E218" s="40"/>
      <c r="F218" s="42"/>
      <c r="G218" s="42"/>
      <c r="H218" s="37"/>
      <c r="I218" s="37"/>
      <c r="J218" s="300">
        <f t="shared" si="9"/>
        <v>-18541163.099999994</v>
      </c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</row>
    <row r="219" spans="1:23">
      <c r="A219" s="35"/>
      <c r="B219" s="47"/>
      <c r="C219" s="40"/>
      <c r="D219" s="40"/>
      <c r="E219" s="40"/>
      <c r="F219" s="42"/>
      <c r="G219" s="45"/>
      <c r="H219" s="51"/>
      <c r="I219" s="51"/>
      <c r="J219" s="300">
        <f t="shared" si="9"/>
        <v>-18541163.099999994</v>
      </c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</row>
    <row r="220" spans="1:23">
      <c r="A220" s="35"/>
      <c r="B220" s="47"/>
      <c r="C220" s="40"/>
      <c r="D220" s="40"/>
      <c r="E220" s="40"/>
      <c r="F220" s="42"/>
      <c r="G220" s="45"/>
      <c r="H220" s="37"/>
      <c r="I220" s="37"/>
      <c r="J220" s="300">
        <f t="shared" si="9"/>
        <v>-18541163.099999994</v>
      </c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</row>
    <row r="221" spans="1:23">
      <c r="A221" s="35"/>
      <c r="B221" s="47"/>
      <c r="C221" s="40"/>
      <c r="D221" s="40"/>
      <c r="E221" s="40"/>
      <c r="F221" s="42"/>
      <c r="G221" s="45"/>
      <c r="H221" s="37"/>
      <c r="I221" s="37"/>
      <c r="J221" s="300">
        <f t="shared" si="9"/>
        <v>-18541163.099999994</v>
      </c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</row>
    <row r="222" spans="1:23">
      <c r="A222" s="35"/>
      <c r="B222" s="47"/>
      <c r="C222" s="40"/>
      <c r="D222" s="40"/>
      <c r="E222" s="40"/>
      <c r="F222" s="42"/>
      <c r="G222" s="45"/>
      <c r="H222" s="37"/>
      <c r="I222" s="37"/>
      <c r="J222" s="300">
        <f t="shared" si="9"/>
        <v>-18541163.099999994</v>
      </c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</row>
    <row r="223" spans="1:23">
      <c r="A223" s="35"/>
      <c r="B223" s="47"/>
      <c r="C223" s="40"/>
      <c r="D223" s="40"/>
      <c r="E223" s="40"/>
      <c r="F223" s="42"/>
      <c r="G223" s="45"/>
      <c r="H223" s="37"/>
      <c r="I223" s="37"/>
      <c r="J223" s="300">
        <f t="shared" si="9"/>
        <v>-18541163.099999994</v>
      </c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</row>
    <row r="224" spans="1:23">
      <c r="A224" s="35"/>
      <c r="B224" s="47"/>
      <c r="C224" s="40"/>
      <c r="D224" s="40"/>
      <c r="E224" s="40"/>
      <c r="F224" s="42"/>
      <c r="G224" s="45"/>
      <c r="H224" s="37"/>
      <c r="I224" s="37"/>
      <c r="J224" s="300">
        <f t="shared" si="9"/>
        <v>-18541163.099999994</v>
      </c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</row>
    <row r="225" spans="1:23">
      <c r="A225" s="35"/>
      <c r="B225" s="47"/>
      <c r="C225" s="40"/>
      <c r="D225" s="40"/>
      <c r="E225" s="40"/>
      <c r="F225" s="42"/>
      <c r="G225" s="45"/>
      <c r="H225" s="37"/>
      <c r="I225" s="37"/>
      <c r="J225" s="300">
        <f t="shared" si="9"/>
        <v>-18541163.099999994</v>
      </c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</row>
    <row r="226" spans="1:23">
      <c r="A226" s="35"/>
      <c r="B226" s="47"/>
      <c r="C226" s="40"/>
      <c r="D226" s="40"/>
      <c r="E226" s="40"/>
      <c r="F226" s="42"/>
      <c r="G226" s="45"/>
      <c r="H226" s="37"/>
      <c r="I226" s="37"/>
      <c r="J226" s="300">
        <f t="shared" si="9"/>
        <v>-18541163.099999994</v>
      </c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</row>
    <row r="227" spans="1:23">
      <c r="A227" s="35"/>
      <c r="B227" s="47"/>
      <c r="C227" s="40"/>
      <c r="D227" s="40"/>
      <c r="E227" s="40"/>
      <c r="F227" s="42"/>
      <c r="G227" s="42"/>
      <c r="H227" s="37"/>
      <c r="I227" s="37"/>
      <c r="J227" s="300">
        <f t="shared" si="9"/>
        <v>-18541163.099999994</v>
      </c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</row>
    <row r="228" spans="1:23">
      <c r="A228" s="35"/>
      <c r="B228" s="320" t="s">
        <v>134</v>
      </c>
      <c r="C228" s="321"/>
      <c r="D228" s="321"/>
      <c r="E228" s="321"/>
      <c r="F228" s="321"/>
      <c r="G228" s="321"/>
      <c r="H228" s="321"/>
      <c r="I228" s="321"/>
      <c r="J228" s="322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</row>
    <row r="229" spans="1:23">
      <c r="A229" s="35"/>
      <c r="B229" s="47"/>
      <c r="C229" s="40"/>
      <c r="D229" s="40"/>
      <c r="E229" s="40"/>
      <c r="F229" s="42" t="s">
        <v>199</v>
      </c>
      <c r="G229" s="45" t="s">
        <v>199</v>
      </c>
      <c r="H229" s="37"/>
      <c r="I229" s="37"/>
      <c r="J229" s="300">
        <f>+J227+H229-I229</f>
        <v>-18541163.099999994</v>
      </c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</row>
    <row r="230" spans="1:23">
      <c r="A230" s="35"/>
      <c r="B230" s="47"/>
      <c r="C230" s="40"/>
      <c r="D230" s="40"/>
      <c r="E230" s="40"/>
      <c r="F230" s="55" t="s">
        <v>327</v>
      </c>
      <c r="G230" s="55" t="s">
        <v>327</v>
      </c>
      <c r="H230" s="37"/>
      <c r="I230" s="37"/>
      <c r="J230" s="300">
        <f>+J229+H230-I230</f>
        <v>-18541163.099999994</v>
      </c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</row>
    <row r="231" spans="1:23">
      <c r="A231" s="35"/>
      <c r="B231" s="47"/>
      <c r="C231" s="40"/>
      <c r="D231" s="40"/>
      <c r="E231" s="40"/>
      <c r="F231" s="55" t="s">
        <v>327</v>
      </c>
      <c r="G231" s="55" t="s">
        <v>327</v>
      </c>
      <c r="H231" s="37"/>
      <c r="I231" s="37"/>
      <c r="J231" s="300">
        <f t="shared" ref="J231:J244" si="10">+J230+H231-I231</f>
        <v>-18541163.099999994</v>
      </c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</row>
    <row r="232" spans="1:23">
      <c r="A232" s="35"/>
      <c r="B232" s="47"/>
      <c r="C232" s="40"/>
      <c r="D232" s="40"/>
      <c r="E232" s="40"/>
      <c r="F232" s="55" t="s">
        <v>327</v>
      </c>
      <c r="G232" s="55" t="s">
        <v>327</v>
      </c>
      <c r="H232" s="37"/>
      <c r="I232" s="37"/>
      <c r="J232" s="300">
        <f t="shared" si="10"/>
        <v>-18541163.099999994</v>
      </c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</row>
    <row r="233" spans="1:23">
      <c r="A233" s="35"/>
      <c r="B233" s="47"/>
      <c r="C233" s="40"/>
      <c r="D233" s="40"/>
      <c r="E233" s="40"/>
      <c r="F233" s="42" t="s">
        <v>328</v>
      </c>
      <c r="G233" s="45" t="s">
        <v>329</v>
      </c>
      <c r="H233" s="37"/>
      <c r="I233" s="37"/>
      <c r="J233" s="300">
        <f t="shared" si="10"/>
        <v>-18541163.099999994</v>
      </c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</row>
    <row r="234" spans="1:23">
      <c r="A234" s="35"/>
      <c r="B234" s="47"/>
      <c r="C234" s="40"/>
      <c r="D234" s="40"/>
      <c r="E234" s="40"/>
      <c r="F234" s="42"/>
      <c r="G234" s="42"/>
      <c r="H234" s="37"/>
      <c r="I234" s="37"/>
      <c r="J234" s="300">
        <f t="shared" si="10"/>
        <v>-18541163.099999994</v>
      </c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</row>
    <row r="235" spans="1:23">
      <c r="B235" s="47"/>
      <c r="C235" s="40"/>
      <c r="D235" s="40"/>
      <c r="E235" s="40"/>
      <c r="F235" s="42"/>
      <c r="G235" s="42"/>
      <c r="H235" s="37"/>
      <c r="I235" s="37"/>
      <c r="J235" s="300">
        <f t="shared" si="10"/>
        <v>-18541163.099999994</v>
      </c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</row>
    <row r="236" spans="1:23">
      <c r="A236" s="35"/>
      <c r="B236" s="47"/>
      <c r="C236" s="40"/>
      <c r="D236" s="40"/>
      <c r="E236" s="40"/>
      <c r="F236" s="42"/>
      <c r="G236" s="42"/>
      <c r="H236" s="37"/>
      <c r="I236" s="37"/>
      <c r="J236" s="300">
        <f t="shared" si="10"/>
        <v>-18541163.099999994</v>
      </c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</row>
    <row r="237" spans="1:23">
      <c r="A237" s="35"/>
      <c r="B237" s="47"/>
      <c r="C237" s="40"/>
      <c r="D237" s="40"/>
      <c r="E237" s="40"/>
      <c r="F237" s="42"/>
      <c r="G237" s="42"/>
      <c r="H237" s="37"/>
      <c r="I237" s="37"/>
      <c r="J237" s="300">
        <f t="shared" si="10"/>
        <v>-18541163.099999994</v>
      </c>
      <c r="K237" s="35"/>
      <c r="L237" s="35"/>
      <c r="M237" s="35"/>
      <c r="N237" s="35"/>
      <c r="O237" s="35" t="s">
        <v>223</v>
      </c>
      <c r="P237" s="35"/>
      <c r="Q237" s="35"/>
      <c r="R237" s="35"/>
      <c r="S237" s="35"/>
      <c r="T237" s="35"/>
      <c r="U237" s="35"/>
      <c r="V237" s="35"/>
      <c r="W237" s="35"/>
    </row>
    <row r="238" spans="1:23">
      <c r="A238" s="35"/>
      <c r="B238" s="47"/>
      <c r="C238" s="40"/>
      <c r="D238" s="40"/>
      <c r="E238" s="40"/>
      <c r="F238" s="42"/>
      <c r="G238" s="42"/>
      <c r="H238" s="37"/>
      <c r="I238" s="37"/>
      <c r="J238" s="300">
        <f t="shared" si="10"/>
        <v>-18541163.099999994</v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</row>
    <row r="239" spans="1:23">
      <c r="A239" s="35"/>
      <c r="B239" s="47"/>
      <c r="C239" s="224"/>
      <c r="D239" s="224"/>
      <c r="E239" s="224"/>
      <c r="F239" s="262"/>
      <c r="G239" s="262"/>
      <c r="H239" s="127"/>
      <c r="I239" s="193"/>
      <c r="J239" s="300">
        <f t="shared" si="10"/>
        <v>-18541163.099999994</v>
      </c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</row>
    <row r="240" spans="1:23">
      <c r="B240" s="295"/>
      <c r="C240" s="224"/>
      <c r="D240" s="224"/>
      <c r="E240" s="224"/>
      <c r="F240" s="262"/>
      <c r="G240" s="262"/>
      <c r="H240" s="127"/>
      <c r="I240" s="193"/>
      <c r="J240" s="300">
        <f t="shared" si="10"/>
        <v>-18541163.099999994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</row>
    <row r="241" spans="1:23">
      <c r="B241" s="127"/>
      <c r="C241" s="224"/>
      <c r="D241" s="127"/>
      <c r="E241" s="224"/>
      <c r="F241" s="42"/>
      <c r="G241" s="45"/>
      <c r="H241" s="127"/>
      <c r="I241" s="127"/>
      <c r="J241" s="300">
        <f t="shared" si="10"/>
        <v>-18541163.099999994</v>
      </c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</row>
    <row r="242" spans="1:23">
      <c r="A242" s="35"/>
      <c r="B242" s="47"/>
      <c r="C242" s="40"/>
      <c r="D242" s="40"/>
      <c r="E242" s="40"/>
      <c r="F242" s="42"/>
      <c r="G242" s="45"/>
      <c r="H242" s="37"/>
      <c r="I242" s="37"/>
      <c r="J242" s="300">
        <f t="shared" si="10"/>
        <v>-18541163.099999994</v>
      </c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</row>
    <row r="243" spans="1:23">
      <c r="A243" s="35"/>
      <c r="B243" s="47"/>
      <c r="C243" s="40"/>
      <c r="D243" s="40"/>
      <c r="E243" s="40"/>
      <c r="F243" s="42"/>
      <c r="G243" s="45"/>
      <c r="H243" s="37"/>
      <c r="I243" s="37"/>
      <c r="J243" s="300">
        <f t="shared" si="10"/>
        <v>-18541163.099999994</v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</row>
    <row r="244" spans="1:23">
      <c r="A244" s="35"/>
      <c r="B244" s="47"/>
      <c r="C244" s="40"/>
      <c r="D244" s="40"/>
      <c r="E244" s="40"/>
      <c r="F244" s="42"/>
      <c r="G244" s="42"/>
      <c r="H244" s="37"/>
      <c r="I244" s="37"/>
      <c r="J244" s="300">
        <f t="shared" si="10"/>
        <v>-18541163.099999994</v>
      </c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</row>
    <row r="245" spans="1:23">
      <c r="A245" s="48"/>
      <c r="B245" s="46" t="s">
        <v>8</v>
      </c>
      <c r="C245" s="97" t="s">
        <v>8</v>
      </c>
      <c r="D245" s="97"/>
      <c r="E245" s="97"/>
      <c r="F245" s="55"/>
      <c r="G245" s="97" t="s">
        <v>9</v>
      </c>
      <c r="H245" s="38">
        <f>SUM(H9:H244)</f>
        <v>0</v>
      </c>
      <c r="I245" s="38">
        <f>SUM(I9:I244)</f>
        <v>255315822</v>
      </c>
      <c r="J245" s="3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</row>
  </sheetData>
  <mergeCells count="16">
    <mergeCell ref="B228:J228"/>
    <mergeCell ref="B173:J173"/>
    <mergeCell ref="B147:J147"/>
    <mergeCell ref="B132:J132"/>
    <mergeCell ref="B107:J107"/>
    <mergeCell ref="B93:J93"/>
    <mergeCell ref="B2:J2"/>
    <mergeCell ref="B3:J3"/>
    <mergeCell ref="B4:J4"/>
    <mergeCell ref="B5:J5"/>
    <mergeCell ref="B8:J8"/>
    <mergeCell ref="B74:J74"/>
    <mergeCell ref="B58:J58"/>
    <mergeCell ref="B20:J20"/>
    <mergeCell ref="B30:J30"/>
    <mergeCell ref="B44:J44"/>
  </mergeCells>
  <phoneticPr fontId="16" type="noConversion"/>
  <conditionalFormatting sqref="H42:I42">
    <cfRule type="cellIs" dxfId="5" priority="11" operator="lessThan">
      <formula>0</formula>
    </cfRule>
  </conditionalFormatting>
  <conditionalFormatting sqref="H144:I144">
    <cfRule type="cellIs" dxfId="4" priority="6" operator="lessThan">
      <formula>0</formula>
    </cfRule>
  </conditionalFormatting>
  <conditionalFormatting sqref="H215:I216">
    <cfRule type="cellIs" dxfId="3" priority="5" operator="lessThan">
      <formula>0</formula>
    </cfRule>
  </conditionalFormatting>
  <conditionalFormatting sqref="H218:I219">
    <cfRule type="cellIs" dxfId="2" priority="8" operator="lessThan">
      <formula>0</formula>
    </cfRule>
  </conditionalFormatting>
  <conditionalFormatting sqref="I143">
    <cfRule type="cellIs" dxfId="1" priority="7" operator="lessThan">
      <formula>0</formula>
    </cfRule>
  </conditionalFormatting>
  <conditionalFormatting sqref="J7">
    <cfRule type="cellIs" dxfId="0" priority="1" operator="lessThan">
      <formula>0</formula>
    </cfRule>
  </conditionalFormatting>
  <pageMargins left="0.31496062992125984" right="0.70866141732283472" top="0.74803149606299213" bottom="0.74803149606299213" header="0.31496062992125984" footer="0.31496062992125984"/>
  <pageSetup paperSize="14" scale="6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AD32"/>
  <sheetViews>
    <sheetView topLeftCell="J1" zoomScaleNormal="100" workbookViewId="0">
      <selection activeCell="T22" sqref="T22"/>
    </sheetView>
  </sheetViews>
  <sheetFormatPr baseColWidth="10" defaultRowHeight="15"/>
  <cols>
    <col min="1" max="1" width="29.140625" bestFit="1" customWidth="1"/>
    <col min="2" max="2" width="6" bestFit="1" customWidth="1"/>
    <col min="3" max="3" width="15.42578125" customWidth="1"/>
    <col min="4" max="4" width="16.140625" customWidth="1"/>
    <col min="5" max="5" width="15.42578125" customWidth="1"/>
    <col min="6" max="6" width="16.140625" customWidth="1"/>
    <col min="7" max="7" width="15.42578125" customWidth="1"/>
    <col min="8" max="8" width="16.140625" customWidth="1"/>
    <col min="9" max="9" width="15.42578125" customWidth="1"/>
    <col min="10" max="10" width="16.140625" customWidth="1"/>
    <col min="11" max="11" width="12" bestFit="1" customWidth="1"/>
    <col min="12" max="12" width="11.5703125" customWidth="1"/>
    <col min="13" max="13" width="12" bestFit="1" customWidth="1"/>
    <col min="14" max="14" width="11.5703125" customWidth="1"/>
    <col min="15" max="15" width="12.85546875" customWidth="1"/>
    <col min="16" max="16" width="11.5703125" customWidth="1"/>
    <col min="17" max="17" width="12" bestFit="1" customWidth="1"/>
    <col min="18" max="18" width="11.5703125" customWidth="1"/>
    <col min="19" max="19" width="12" bestFit="1" customWidth="1"/>
    <col min="20" max="20" width="11.5703125" customWidth="1"/>
    <col min="21" max="21" width="12.85546875" customWidth="1"/>
    <col min="22" max="22" width="12.42578125" customWidth="1"/>
    <col min="23" max="23" width="11.140625" bestFit="1" customWidth="1"/>
    <col min="24" max="24" width="11.5703125" bestFit="1" customWidth="1"/>
    <col min="25" max="25" width="10.85546875" bestFit="1" customWidth="1"/>
    <col min="26" max="26" width="12" bestFit="1" customWidth="1"/>
    <col min="27" max="27" width="12" customWidth="1"/>
    <col min="28" max="28" width="13.5703125" bestFit="1" customWidth="1"/>
    <col min="29" max="29" width="12.85546875" bestFit="1" customWidth="1"/>
    <col min="30" max="30" width="14" bestFit="1" customWidth="1"/>
  </cols>
  <sheetData>
    <row r="2" spans="1:30">
      <c r="A2" s="4" t="s">
        <v>64</v>
      </c>
      <c r="C2" s="388" t="s">
        <v>66</v>
      </c>
      <c r="D2" s="390"/>
      <c r="E2" s="388" t="s">
        <v>67</v>
      </c>
      <c r="F2" s="390"/>
      <c r="G2" s="388" t="s">
        <v>68</v>
      </c>
      <c r="H2" s="390"/>
      <c r="I2" s="388" t="s">
        <v>128</v>
      </c>
      <c r="J2" s="390"/>
      <c r="K2" s="388" t="s">
        <v>120</v>
      </c>
      <c r="L2" s="390"/>
      <c r="M2" s="388" t="s">
        <v>129</v>
      </c>
      <c r="N2" s="390"/>
      <c r="O2" s="388" t="s">
        <v>65</v>
      </c>
      <c r="P2" s="390"/>
      <c r="Q2" s="388" t="s">
        <v>130</v>
      </c>
      <c r="R2" s="390"/>
      <c r="S2" s="388" t="s">
        <v>131</v>
      </c>
      <c r="T2" s="390"/>
      <c r="U2" s="388" t="s">
        <v>132</v>
      </c>
      <c r="V2" s="390"/>
      <c r="W2" s="388" t="s">
        <v>133</v>
      </c>
      <c r="X2" s="390"/>
      <c r="Y2" s="388" t="s">
        <v>134</v>
      </c>
      <c r="Z2" s="390"/>
      <c r="AA2" s="211"/>
      <c r="AB2" s="388" t="s">
        <v>9</v>
      </c>
      <c r="AC2" s="389"/>
      <c r="AD2" s="390"/>
    </row>
    <row r="3" spans="1:30">
      <c r="A3" s="1" t="s">
        <v>17</v>
      </c>
      <c r="B3" s="29" t="s">
        <v>18</v>
      </c>
      <c r="C3" s="31" t="s">
        <v>173</v>
      </c>
      <c r="D3" s="31" t="s">
        <v>174</v>
      </c>
      <c r="E3" s="31" t="s">
        <v>173</v>
      </c>
      <c r="F3" s="31" t="s">
        <v>174</v>
      </c>
      <c r="G3" s="31" t="s">
        <v>173</v>
      </c>
      <c r="H3" s="31" t="s">
        <v>174</v>
      </c>
      <c r="I3" s="31" t="s">
        <v>173</v>
      </c>
      <c r="J3" s="31" t="s">
        <v>174</v>
      </c>
      <c r="K3" s="31" t="s">
        <v>173</v>
      </c>
      <c r="L3" s="31" t="s">
        <v>174</v>
      </c>
      <c r="M3" s="31" t="s">
        <v>173</v>
      </c>
      <c r="N3" s="31" t="s">
        <v>174</v>
      </c>
      <c r="O3" s="31" t="s">
        <v>173</v>
      </c>
      <c r="P3" s="31" t="s">
        <v>174</v>
      </c>
      <c r="Q3" s="31" t="s">
        <v>173</v>
      </c>
      <c r="R3" s="31" t="s">
        <v>174</v>
      </c>
      <c r="S3" s="31" t="s">
        <v>173</v>
      </c>
      <c r="T3" s="31" t="s">
        <v>174</v>
      </c>
      <c r="U3" s="31" t="s">
        <v>173</v>
      </c>
      <c r="V3" s="31" t="s">
        <v>174</v>
      </c>
      <c r="W3" s="31" t="s">
        <v>173</v>
      </c>
      <c r="X3" s="31" t="s">
        <v>174</v>
      </c>
      <c r="Y3" s="31" t="s">
        <v>173</v>
      </c>
      <c r="Z3" s="31" t="s">
        <v>174</v>
      </c>
      <c r="AA3" s="31" t="s">
        <v>173</v>
      </c>
      <c r="AB3" s="163" t="s">
        <v>175</v>
      </c>
      <c r="AC3" s="163" t="s">
        <v>140</v>
      </c>
      <c r="AD3" s="31" t="s">
        <v>218</v>
      </c>
    </row>
    <row r="4" spans="1:30">
      <c r="A4" s="2" t="s">
        <v>19</v>
      </c>
      <c r="B4" s="29" t="s">
        <v>20</v>
      </c>
      <c r="C4" s="32">
        <v>35704650</v>
      </c>
      <c r="D4" s="32">
        <v>2805752</v>
      </c>
      <c r="E4" s="32">
        <v>37837918</v>
      </c>
      <c r="F4" s="32">
        <v>2973938</v>
      </c>
      <c r="G4" s="32">
        <v>36418750</v>
      </c>
      <c r="H4" s="32">
        <v>2861868</v>
      </c>
      <c r="I4" s="32">
        <v>32948592</v>
      </c>
      <c r="J4" s="32">
        <v>2341894</v>
      </c>
      <c r="K4" s="32">
        <v>32424449</v>
      </c>
      <c r="L4" s="32">
        <v>2375086</v>
      </c>
      <c r="M4" s="32">
        <v>26446877</v>
      </c>
      <c r="N4" s="32">
        <v>1993232</v>
      </c>
      <c r="O4" s="32">
        <v>30655340</v>
      </c>
      <c r="P4" s="32">
        <v>2370806</v>
      </c>
      <c r="Q4" s="32">
        <v>29353393</v>
      </c>
      <c r="R4" s="32">
        <v>2375508</v>
      </c>
      <c r="S4" s="32">
        <v>29366340</v>
      </c>
      <c r="T4" s="32">
        <v>2407786</v>
      </c>
      <c r="U4" s="32"/>
      <c r="V4" s="32"/>
      <c r="W4" s="220"/>
      <c r="X4" s="220"/>
      <c r="Y4" s="220"/>
      <c r="Z4" s="220"/>
      <c r="AA4" s="221"/>
      <c r="AB4" s="221">
        <f t="shared" ref="AB4:AB25" si="0">+C4+E4+G4+I4+K4+M4+O4+Q4+S4+U4+W4+Y4</f>
        <v>291156309</v>
      </c>
      <c r="AC4" s="32">
        <f t="shared" ref="AC4:AC25" si="1">+D4+F4+H4+J4+L4+N4+P4+R4+T4+V4+X4+Z4</f>
        <v>22505870</v>
      </c>
      <c r="AD4" s="32">
        <f t="shared" ref="AD4:AD25" si="2">+AA4</f>
        <v>0</v>
      </c>
    </row>
    <row r="5" spans="1:30">
      <c r="A5" s="2" t="s">
        <v>21</v>
      </c>
      <c r="B5" s="29" t="s">
        <v>22</v>
      </c>
      <c r="C5" s="32">
        <v>22770507</v>
      </c>
      <c r="D5" s="32">
        <v>1468158</v>
      </c>
      <c r="E5" s="32">
        <v>24126506</v>
      </c>
      <c r="F5" s="32">
        <v>1556516</v>
      </c>
      <c r="G5" s="32">
        <v>23225924</v>
      </c>
      <c r="H5" s="32">
        <v>1497524</v>
      </c>
      <c r="I5" s="32">
        <v>21986371</v>
      </c>
      <c r="J5" s="32">
        <v>1272182</v>
      </c>
      <c r="K5" s="32">
        <v>23832697</v>
      </c>
      <c r="L5" s="32">
        <v>1426930</v>
      </c>
      <c r="M5" s="32">
        <v>26094394</v>
      </c>
      <c r="N5" s="32">
        <v>1516948</v>
      </c>
      <c r="O5" s="32">
        <v>23955442</v>
      </c>
      <c r="P5" s="32">
        <v>1451894</v>
      </c>
      <c r="Q5" s="32">
        <v>23557433</v>
      </c>
      <c r="R5" s="32">
        <v>1446628</v>
      </c>
      <c r="S5" s="221">
        <v>23405673</v>
      </c>
      <c r="T5" s="32">
        <v>1462914</v>
      </c>
      <c r="U5" s="32"/>
      <c r="V5" s="32"/>
      <c r="W5" s="220"/>
      <c r="X5" s="220"/>
      <c r="Y5" s="220"/>
      <c r="Z5" s="220"/>
      <c r="AA5" s="221"/>
      <c r="AB5" s="221">
        <f t="shared" si="0"/>
        <v>212954947</v>
      </c>
      <c r="AC5" s="32">
        <f t="shared" si="1"/>
        <v>13099694</v>
      </c>
      <c r="AD5" s="32">
        <f t="shared" si="2"/>
        <v>0</v>
      </c>
    </row>
    <row r="6" spans="1:30">
      <c r="A6" s="2" t="s">
        <v>23</v>
      </c>
      <c r="B6" s="29" t="s">
        <v>24</v>
      </c>
      <c r="C6" s="32">
        <v>13664827</v>
      </c>
      <c r="D6" s="32">
        <v>517262</v>
      </c>
      <c r="E6" s="32">
        <v>13795850</v>
      </c>
      <c r="F6" s="32">
        <v>517262</v>
      </c>
      <c r="G6" s="32">
        <v>13708314</v>
      </c>
      <c r="H6" s="32">
        <v>517262</v>
      </c>
      <c r="I6" s="32">
        <v>13472570</v>
      </c>
      <c r="J6" s="32">
        <v>517262</v>
      </c>
      <c r="K6" s="32">
        <v>13463758</v>
      </c>
      <c r="L6" s="32">
        <v>517262</v>
      </c>
      <c r="M6" s="32">
        <v>8999164</v>
      </c>
      <c r="N6" s="32">
        <v>1289507</v>
      </c>
      <c r="O6" s="32">
        <v>12678678</v>
      </c>
      <c r="P6" s="32">
        <v>728429</v>
      </c>
      <c r="Q6" s="32">
        <v>12670260</v>
      </c>
      <c r="R6" s="32">
        <v>728429</v>
      </c>
      <c r="S6" s="32">
        <v>12687623</v>
      </c>
      <c r="T6" s="32">
        <v>728429</v>
      </c>
      <c r="U6" s="32"/>
      <c r="V6" s="32"/>
      <c r="W6" s="220"/>
      <c r="X6" s="220"/>
      <c r="Y6" s="220"/>
      <c r="Z6" s="220"/>
      <c r="AA6" s="221"/>
      <c r="AB6" s="221">
        <f t="shared" si="0"/>
        <v>115141044</v>
      </c>
      <c r="AC6" s="32">
        <f t="shared" si="1"/>
        <v>6061104</v>
      </c>
      <c r="AD6" s="32">
        <f t="shared" si="2"/>
        <v>0</v>
      </c>
    </row>
    <row r="7" spans="1:30">
      <c r="A7" s="2" t="s">
        <v>341</v>
      </c>
      <c r="B7" s="29" t="s">
        <v>26</v>
      </c>
      <c r="C7" s="32">
        <v>33467000</v>
      </c>
      <c r="D7" s="32">
        <v>2865097</v>
      </c>
      <c r="E7" s="32">
        <v>35403586</v>
      </c>
      <c r="F7" s="32">
        <v>3036650</v>
      </c>
      <c r="G7" s="32">
        <v>34071579</v>
      </c>
      <c r="H7" s="32">
        <v>2922398</v>
      </c>
      <c r="I7" s="32">
        <v>32689403</v>
      </c>
      <c r="J7" s="32">
        <v>2492806</v>
      </c>
      <c r="K7" s="32">
        <v>32644350</v>
      </c>
      <c r="L7" s="32">
        <v>2487180</v>
      </c>
      <c r="M7" s="32">
        <v>30718589</v>
      </c>
      <c r="N7" s="32">
        <v>2037855</v>
      </c>
      <c r="O7" s="32">
        <v>32226538</v>
      </c>
      <c r="P7" s="32">
        <v>2454651</v>
      </c>
      <c r="Q7" s="32">
        <v>31704467</v>
      </c>
      <c r="R7" s="32">
        <v>2434106</v>
      </c>
      <c r="S7" s="32">
        <v>31450287</v>
      </c>
      <c r="T7" s="32">
        <v>2417157</v>
      </c>
      <c r="U7" s="32"/>
      <c r="V7" s="32"/>
      <c r="W7" s="220"/>
      <c r="X7" s="220"/>
      <c r="Y7" s="220"/>
      <c r="Z7" s="220"/>
      <c r="AA7" s="221"/>
      <c r="AB7" s="221">
        <f t="shared" si="0"/>
        <v>294375799</v>
      </c>
      <c r="AC7" s="32">
        <f t="shared" si="1"/>
        <v>23147900</v>
      </c>
      <c r="AD7" s="32">
        <f t="shared" si="2"/>
        <v>0</v>
      </c>
    </row>
    <row r="8" spans="1:30">
      <c r="A8" s="2" t="s">
        <v>27</v>
      </c>
      <c r="B8" s="29" t="s">
        <v>28</v>
      </c>
      <c r="C8" s="32">
        <v>6349278</v>
      </c>
      <c r="D8" s="32">
        <v>360164</v>
      </c>
      <c r="E8" s="32">
        <v>6730971</v>
      </c>
      <c r="F8" s="32">
        <v>381746</v>
      </c>
      <c r="G8" s="32">
        <v>6476267</v>
      </c>
      <c r="H8" s="32">
        <v>367368</v>
      </c>
      <c r="I8" s="32">
        <v>5883236</v>
      </c>
      <c r="J8" s="32">
        <v>297122</v>
      </c>
      <c r="K8" s="32">
        <v>5937316</v>
      </c>
      <c r="L8" s="32">
        <v>275036</v>
      </c>
      <c r="M8" s="32">
        <v>5426355</v>
      </c>
      <c r="N8" s="32">
        <v>1396</v>
      </c>
      <c r="O8" s="32">
        <v>5936198</v>
      </c>
      <c r="P8" s="32">
        <v>205196</v>
      </c>
      <c r="Q8" s="32">
        <v>5993549</v>
      </c>
      <c r="R8" s="32">
        <v>167082</v>
      </c>
      <c r="S8" s="32">
        <v>5999493</v>
      </c>
      <c r="T8" s="32">
        <v>179348</v>
      </c>
      <c r="U8" s="32"/>
      <c r="V8" s="32"/>
      <c r="W8" s="220"/>
      <c r="X8" s="220"/>
      <c r="Y8" s="220"/>
      <c r="Z8" s="220"/>
      <c r="AA8" s="221"/>
      <c r="AB8" s="221">
        <f t="shared" si="0"/>
        <v>54732663</v>
      </c>
      <c r="AC8" s="32">
        <f t="shared" si="1"/>
        <v>2234458</v>
      </c>
      <c r="AD8" s="32">
        <f t="shared" si="2"/>
        <v>0</v>
      </c>
    </row>
    <row r="9" spans="1:30">
      <c r="A9" s="2" t="s">
        <v>29</v>
      </c>
      <c r="B9" s="29" t="s">
        <v>30</v>
      </c>
      <c r="C9" s="32">
        <v>11774173</v>
      </c>
      <c r="D9" s="32">
        <v>920826</v>
      </c>
      <c r="E9" s="32">
        <v>12479118</v>
      </c>
      <c r="F9" s="32">
        <v>975766</v>
      </c>
      <c r="G9" s="32">
        <v>12009665</v>
      </c>
      <c r="H9" s="32">
        <v>939236</v>
      </c>
      <c r="I9" s="32">
        <v>10715115</v>
      </c>
      <c r="J9" s="32">
        <v>1148528</v>
      </c>
      <c r="K9" s="32">
        <v>10773227</v>
      </c>
      <c r="L9" s="32">
        <v>1144286</v>
      </c>
      <c r="M9" s="32">
        <v>9360131</v>
      </c>
      <c r="N9" s="32">
        <v>1341910</v>
      </c>
      <c r="O9" s="32">
        <v>10715159</v>
      </c>
      <c r="P9" s="32">
        <v>1153170</v>
      </c>
      <c r="Q9" s="32">
        <v>10503791</v>
      </c>
      <c r="R9" s="32">
        <v>1148614</v>
      </c>
      <c r="S9" s="32">
        <v>10436966</v>
      </c>
      <c r="T9" s="32">
        <v>1146176</v>
      </c>
      <c r="U9" s="32"/>
      <c r="V9" s="32"/>
      <c r="W9" s="220"/>
      <c r="X9" s="220"/>
      <c r="Y9" s="220"/>
      <c r="Z9" s="220"/>
      <c r="AA9" s="221"/>
      <c r="AB9" s="221">
        <f t="shared" si="0"/>
        <v>98767345</v>
      </c>
      <c r="AC9" s="32">
        <f t="shared" si="1"/>
        <v>9918512</v>
      </c>
      <c r="AD9" s="32">
        <f t="shared" si="2"/>
        <v>0</v>
      </c>
    </row>
    <row r="10" spans="1:30">
      <c r="A10" s="2" t="s">
        <v>31</v>
      </c>
      <c r="B10" s="29" t="s">
        <v>32</v>
      </c>
      <c r="C10" s="32">
        <v>6962845</v>
      </c>
      <c r="D10" s="32">
        <v>197328</v>
      </c>
      <c r="E10" s="32">
        <v>7384075</v>
      </c>
      <c r="F10" s="32">
        <v>209190</v>
      </c>
      <c r="G10" s="32">
        <v>7102098</v>
      </c>
      <c r="H10" s="32">
        <v>201276</v>
      </c>
      <c r="I10" s="32">
        <v>6829245</v>
      </c>
      <c r="J10" s="32">
        <v>202538</v>
      </c>
      <c r="K10" s="32">
        <v>6829588</v>
      </c>
      <c r="L10" s="32">
        <v>203778</v>
      </c>
      <c r="M10" s="32">
        <v>5959704</v>
      </c>
      <c r="N10" s="32">
        <v>241770</v>
      </c>
      <c r="O10" s="32">
        <v>6599130</v>
      </c>
      <c r="P10" s="32">
        <v>223112</v>
      </c>
      <c r="Q10" s="32">
        <v>5808344</v>
      </c>
      <c r="R10" s="32">
        <v>229870</v>
      </c>
      <c r="S10" s="32">
        <v>6576147</v>
      </c>
      <c r="T10" s="32">
        <v>222950</v>
      </c>
      <c r="U10" s="32"/>
      <c r="V10" s="32"/>
      <c r="W10" s="220"/>
      <c r="X10" s="220"/>
      <c r="Y10" s="220"/>
      <c r="Z10" s="220"/>
      <c r="AA10" s="221"/>
      <c r="AB10" s="221">
        <f t="shared" si="0"/>
        <v>60051176</v>
      </c>
      <c r="AC10" s="32">
        <f t="shared" si="1"/>
        <v>1931812</v>
      </c>
      <c r="AD10" s="32">
        <f t="shared" si="2"/>
        <v>0</v>
      </c>
    </row>
    <row r="11" spans="1:30">
      <c r="A11" s="2" t="s">
        <v>33</v>
      </c>
      <c r="B11" s="29" t="s">
        <v>34</v>
      </c>
      <c r="C11" s="32">
        <v>10383823</v>
      </c>
      <c r="D11" s="32">
        <v>879947</v>
      </c>
      <c r="E11" s="32">
        <v>11015035</v>
      </c>
      <c r="F11" s="32">
        <v>932685</v>
      </c>
      <c r="G11" s="32">
        <v>10591499</v>
      </c>
      <c r="H11" s="32">
        <v>897546</v>
      </c>
      <c r="I11" s="32">
        <v>11318754</v>
      </c>
      <c r="J11" s="32">
        <v>1237038</v>
      </c>
      <c r="K11" s="32">
        <v>11143527</v>
      </c>
      <c r="L11" s="32">
        <v>1202397</v>
      </c>
      <c r="M11" s="32">
        <v>11156823</v>
      </c>
      <c r="N11" s="32">
        <v>1453696</v>
      </c>
      <c r="O11" s="32">
        <v>10898366</v>
      </c>
      <c r="P11" s="32">
        <v>1209044</v>
      </c>
      <c r="Q11" s="32">
        <v>10704297</v>
      </c>
      <c r="R11" s="32">
        <v>1208546</v>
      </c>
      <c r="S11" s="221">
        <v>10605524</v>
      </c>
      <c r="T11" s="32">
        <v>1229667</v>
      </c>
      <c r="U11" s="32"/>
      <c r="V11" s="32"/>
      <c r="W11" s="220"/>
      <c r="X11" s="220"/>
      <c r="Y11" s="220"/>
      <c r="Z11" s="220"/>
      <c r="AA11" s="221"/>
      <c r="AB11" s="221">
        <f t="shared" si="0"/>
        <v>97817648</v>
      </c>
      <c r="AC11" s="32">
        <f t="shared" si="1"/>
        <v>10250566</v>
      </c>
      <c r="AD11" s="32">
        <f t="shared" si="2"/>
        <v>0</v>
      </c>
    </row>
    <row r="12" spans="1:30">
      <c r="A12" s="2" t="s">
        <v>35</v>
      </c>
      <c r="B12" s="29" t="s">
        <v>36</v>
      </c>
      <c r="C12" s="32">
        <v>6391380</v>
      </c>
      <c r="D12" s="32">
        <v>496694</v>
      </c>
      <c r="E12" s="32">
        <v>6775020</v>
      </c>
      <c r="F12" s="32">
        <v>526538</v>
      </c>
      <c r="G12" s="32">
        <v>6519207</v>
      </c>
      <c r="H12" s="32">
        <v>506628</v>
      </c>
      <c r="I12" s="32">
        <v>6103837</v>
      </c>
      <c r="J12" s="32">
        <v>424466</v>
      </c>
      <c r="K12" s="32">
        <v>6055416</v>
      </c>
      <c r="L12" s="32">
        <v>422646</v>
      </c>
      <c r="M12" s="32">
        <v>5583984</v>
      </c>
      <c r="N12" s="32">
        <v>345202</v>
      </c>
      <c r="O12" s="32">
        <v>6073181</v>
      </c>
      <c r="P12" s="32">
        <v>428594</v>
      </c>
      <c r="Q12" s="32">
        <v>5986452</v>
      </c>
      <c r="R12" s="32">
        <v>428002</v>
      </c>
      <c r="S12" s="32">
        <v>5999388</v>
      </c>
      <c r="T12" s="32">
        <v>429230</v>
      </c>
      <c r="U12" s="32"/>
      <c r="V12" s="32"/>
      <c r="W12" s="220"/>
      <c r="X12" s="220"/>
      <c r="Y12" s="220"/>
      <c r="Z12" s="220"/>
      <c r="AA12" s="221"/>
      <c r="AB12" s="221">
        <f t="shared" si="0"/>
        <v>55487865</v>
      </c>
      <c r="AC12" s="32">
        <f t="shared" si="1"/>
        <v>4008000</v>
      </c>
      <c r="AD12" s="32">
        <f t="shared" si="2"/>
        <v>0</v>
      </c>
    </row>
    <row r="13" spans="1:30">
      <c r="A13" s="2" t="s">
        <v>37</v>
      </c>
      <c r="B13" s="29" t="s">
        <v>38</v>
      </c>
      <c r="C13" s="32">
        <v>9934655</v>
      </c>
      <c r="D13" s="32">
        <v>1102022</v>
      </c>
      <c r="E13" s="32">
        <v>10531008</v>
      </c>
      <c r="F13" s="32">
        <v>1168146</v>
      </c>
      <c r="G13" s="32">
        <v>10133351</v>
      </c>
      <c r="H13" s="32">
        <v>1124064</v>
      </c>
      <c r="I13" s="32">
        <v>10048811</v>
      </c>
      <c r="J13" s="32">
        <v>876220</v>
      </c>
      <c r="K13" s="32">
        <v>10054717</v>
      </c>
      <c r="L13" s="32">
        <v>899256</v>
      </c>
      <c r="M13" s="32">
        <v>10093372</v>
      </c>
      <c r="N13" s="32">
        <v>835636</v>
      </c>
      <c r="O13" s="32">
        <v>10209094</v>
      </c>
      <c r="P13" s="32">
        <v>1004012</v>
      </c>
      <c r="Q13" s="32">
        <v>10053077</v>
      </c>
      <c r="R13" s="32">
        <v>1013372</v>
      </c>
      <c r="S13" s="32">
        <v>9966677</v>
      </c>
      <c r="T13" s="32">
        <v>1025542</v>
      </c>
      <c r="U13" s="32"/>
      <c r="V13" s="32"/>
      <c r="W13" s="220"/>
      <c r="X13" s="220"/>
      <c r="Y13" s="220"/>
      <c r="Z13" s="220"/>
      <c r="AA13" s="221"/>
      <c r="AB13" s="221">
        <f t="shared" si="0"/>
        <v>91024762</v>
      </c>
      <c r="AC13" s="32">
        <f t="shared" si="1"/>
        <v>9048270</v>
      </c>
      <c r="AD13" s="32">
        <f t="shared" si="2"/>
        <v>0</v>
      </c>
    </row>
    <row r="14" spans="1:30">
      <c r="A14" s="2" t="s">
        <v>39</v>
      </c>
      <c r="B14" s="29" t="s">
        <v>40</v>
      </c>
      <c r="C14" s="32">
        <v>9176633</v>
      </c>
      <c r="D14" s="32">
        <v>1031092</v>
      </c>
      <c r="E14" s="32">
        <v>9724887</v>
      </c>
      <c r="F14" s="32">
        <v>1091758</v>
      </c>
      <c r="G14" s="32">
        <v>9360165</v>
      </c>
      <c r="H14" s="32">
        <v>1051714</v>
      </c>
      <c r="I14" s="32">
        <v>10173707</v>
      </c>
      <c r="J14" s="32">
        <v>1420156</v>
      </c>
      <c r="K14" s="32">
        <v>10167357</v>
      </c>
      <c r="L14" s="32">
        <v>1411472</v>
      </c>
      <c r="M14" s="32">
        <v>10763835</v>
      </c>
      <c r="N14" s="32">
        <v>1750776</v>
      </c>
      <c r="O14" s="32">
        <v>9966239</v>
      </c>
      <c r="P14" s="32">
        <v>1352000</v>
      </c>
      <c r="Q14" s="32">
        <v>9704798</v>
      </c>
      <c r="R14" s="32">
        <v>1320796</v>
      </c>
      <c r="S14" s="32">
        <v>9685910</v>
      </c>
      <c r="T14" s="32">
        <v>1319684</v>
      </c>
      <c r="U14" s="32"/>
      <c r="V14" s="32"/>
      <c r="W14" s="220"/>
      <c r="X14" s="220"/>
      <c r="Y14" s="220"/>
      <c r="Z14" s="220"/>
      <c r="AA14" s="221"/>
      <c r="AB14" s="221">
        <f t="shared" si="0"/>
        <v>88723531</v>
      </c>
      <c r="AC14" s="32">
        <f t="shared" si="1"/>
        <v>11749448</v>
      </c>
      <c r="AD14" s="32">
        <f t="shared" si="2"/>
        <v>0</v>
      </c>
    </row>
    <row r="15" spans="1:30">
      <c r="A15" s="2" t="s">
        <v>41</v>
      </c>
      <c r="B15" s="29" t="s">
        <v>42</v>
      </c>
      <c r="C15" s="32">
        <v>917776</v>
      </c>
      <c r="D15" s="32">
        <v>33552</v>
      </c>
      <c r="E15" s="32">
        <v>972625</v>
      </c>
      <c r="F15" s="32">
        <v>35516</v>
      </c>
      <c r="G15" s="32">
        <v>936133</v>
      </c>
      <c r="H15" s="32">
        <v>34224</v>
      </c>
      <c r="I15" s="32">
        <v>862446</v>
      </c>
      <c r="J15" s="32">
        <v>134052</v>
      </c>
      <c r="K15" s="32">
        <v>856721</v>
      </c>
      <c r="L15" s="32">
        <v>120694</v>
      </c>
      <c r="M15" s="32">
        <v>785729</v>
      </c>
      <c r="N15" s="32">
        <v>177352</v>
      </c>
      <c r="O15" s="32">
        <v>871225</v>
      </c>
      <c r="P15" s="32">
        <v>109384</v>
      </c>
      <c r="Q15" s="32">
        <v>877062</v>
      </c>
      <c r="R15" s="32">
        <v>110000</v>
      </c>
      <c r="S15" s="32">
        <v>880402</v>
      </c>
      <c r="T15" s="32">
        <v>110682</v>
      </c>
      <c r="U15" s="32"/>
      <c r="V15" s="32"/>
      <c r="W15" s="220"/>
      <c r="X15" s="220"/>
      <c r="Y15" s="220"/>
      <c r="Z15" s="220"/>
      <c r="AA15" s="221"/>
      <c r="AB15" s="221">
        <f t="shared" si="0"/>
        <v>7960119</v>
      </c>
      <c r="AC15" s="32">
        <f t="shared" si="1"/>
        <v>865456</v>
      </c>
      <c r="AD15" s="32">
        <f t="shared" si="2"/>
        <v>0</v>
      </c>
    </row>
    <row r="16" spans="1:30">
      <c r="A16" s="2" t="s">
        <v>43</v>
      </c>
      <c r="B16" s="29" t="s">
        <v>44</v>
      </c>
      <c r="C16" s="32">
        <v>898534</v>
      </c>
      <c r="D16" s="32">
        <v>92186</v>
      </c>
      <c r="E16" s="32">
        <v>953136</v>
      </c>
      <c r="F16" s="32">
        <v>98014</v>
      </c>
      <c r="G16" s="32">
        <v>916504</v>
      </c>
      <c r="H16" s="32">
        <v>94030</v>
      </c>
      <c r="I16" s="32">
        <v>923419</v>
      </c>
      <c r="J16" s="32">
        <v>72772</v>
      </c>
      <c r="K16" s="32">
        <v>890431</v>
      </c>
      <c r="L16" s="32">
        <v>72772</v>
      </c>
      <c r="M16" s="32">
        <v>799687</v>
      </c>
      <c r="N16" s="32">
        <v>52530</v>
      </c>
      <c r="O16" s="32">
        <v>869440</v>
      </c>
      <c r="P16" s="32">
        <v>73788</v>
      </c>
      <c r="Q16" s="32">
        <v>869440</v>
      </c>
      <c r="R16" s="32">
        <v>73788</v>
      </c>
      <c r="S16" s="32">
        <v>869257</v>
      </c>
      <c r="T16" s="32">
        <v>73172</v>
      </c>
      <c r="U16" s="32"/>
      <c r="V16" s="32"/>
      <c r="W16" s="220"/>
      <c r="X16" s="220"/>
      <c r="Y16" s="220"/>
      <c r="Z16" s="220"/>
      <c r="AA16" s="221"/>
      <c r="AB16" s="221">
        <f t="shared" si="0"/>
        <v>7989848</v>
      </c>
      <c r="AC16" s="32">
        <f t="shared" si="1"/>
        <v>703052</v>
      </c>
      <c r="AD16" s="32">
        <f t="shared" si="2"/>
        <v>0</v>
      </c>
    </row>
    <row r="17" spans="1:30">
      <c r="A17" s="2" t="s">
        <v>45</v>
      </c>
      <c r="B17" s="29" t="s">
        <v>46</v>
      </c>
      <c r="C17" s="32">
        <v>2990418</v>
      </c>
      <c r="D17" s="32">
        <v>289120</v>
      </c>
      <c r="E17" s="32">
        <v>3172743</v>
      </c>
      <c r="F17" s="32">
        <v>305678</v>
      </c>
      <c r="G17" s="32">
        <v>3050227</v>
      </c>
      <c r="H17" s="32">
        <v>294902</v>
      </c>
      <c r="I17" s="32">
        <v>3369242</v>
      </c>
      <c r="J17" s="32">
        <v>285626</v>
      </c>
      <c r="K17" s="32">
        <v>3390815</v>
      </c>
      <c r="L17" s="32">
        <v>274496</v>
      </c>
      <c r="M17" s="32">
        <v>3678977</v>
      </c>
      <c r="N17" s="32">
        <v>212618</v>
      </c>
      <c r="O17" s="32">
        <v>3422981</v>
      </c>
      <c r="P17" s="32">
        <v>254860</v>
      </c>
      <c r="Q17" s="32">
        <v>3365847</v>
      </c>
      <c r="R17" s="32">
        <v>249198</v>
      </c>
      <c r="S17" s="32">
        <v>3399620</v>
      </c>
      <c r="T17" s="32">
        <v>253090</v>
      </c>
      <c r="U17" s="32"/>
      <c r="V17" s="32"/>
      <c r="W17" s="220"/>
      <c r="X17" s="220"/>
      <c r="Y17" s="220"/>
      <c r="Z17" s="220"/>
      <c r="AA17" s="221"/>
      <c r="AB17" s="221">
        <f t="shared" si="0"/>
        <v>29840870</v>
      </c>
      <c r="AC17" s="32">
        <f t="shared" si="1"/>
        <v>2419588</v>
      </c>
      <c r="AD17" s="32">
        <f t="shared" si="2"/>
        <v>0</v>
      </c>
    </row>
    <row r="18" spans="1:30">
      <c r="A18" s="2" t="s">
        <v>47</v>
      </c>
      <c r="B18" s="29" t="s">
        <v>48</v>
      </c>
      <c r="C18" s="32">
        <v>5244772</v>
      </c>
      <c r="D18" s="32">
        <v>253364</v>
      </c>
      <c r="E18" s="32">
        <v>5563831</v>
      </c>
      <c r="F18" s="32">
        <v>268562</v>
      </c>
      <c r="G18" s="32">
        <v>5349670</v>
      </c>
      <c r="H18" s="32">
        <v>258434</v>
      </c>
      <c r="I18" s="32">
        <v>5316391</v>
      </c>
      <c r="J18" s="32">
        <v>362016</v>
      </c>
      <c r="K18" s="32">
        <v>5273278</v>
      </c>
      <c r="L18" s="32">
        <v>362926</v>
      </c>
      <c r="M18" s="32">
        <v>4868120</v>
      </c>
      <c r="N18" s="32">
        <v>472054</v>
      </c>
      <c r="O18" s="32">
        <v>5117916</v>
      </c>
      <c r="P18" s="32">
        <v>367398</v>
      </c>
      <c r="Q18" s="32">
        <v>4937169</v>
      </c>
      <c r="R18" s="32">
        <v>375594</v>
      </c>
      <c r="S18" s="32">
        <v>4778455</v>
      </c>
      <c r="T18" s="32">
        <v>383468</v>
      </c>
      <c r="U18" s="32"/>
      <c r="V18" s="32"/>
      <c r="W18" s="220"/>
      <c r="X18" s="220"/>
      <c r="Y18" s="220"/>
      <c r="Z18" s="220"/>
      <c r="AA18" s="221"/>
      <c r="AB18" s="221">
        <f t="shared" si="0"/>
        <v>46449602</v>
      </c>
      <c r="AC18" s="32">
        <f t="shared" si="1"/>
        <v>3103816</v>
      </c>
      <c r="AD18" s="32">
        <f t="shared" si="2"/>
        <v>0</v>
      </c>
    </row>
    <row r="19" spans="1:30">
      <c r="A19" s="2" t="s">
        <v>49</v>
      </c>
      <c r="B19" s="29" t="s">
        <v>50</v>
      </c>
      <c r="C19" s="32">
        <v>585398</v>
      </c>
      <c r="D19" s="32">
        <v>70216</v>
      </c>
      <c r="E19" s="32">
        <v>620073</v>
      </c>
      <c r="F19" s="32">
        <v>74376</v>
      </c>
      <c r="G19" s="32">
        <v>597101</v>
      </c>
      <c r="H19" s="32">
        <v>71620</v>
      </c>
      <c r="I19" s="32">
        <v>833434</v>
      </c>
      <c r="J19" s="32">
        <v>36386</v>
      </c>
      <c r="K19" s="32">
        <v>881826</v>
      </c>
      <c r="L19" s="32">
        <v>36386</v>
      </c>
      <c r="M19" s="32">
        <v>1291975</v>
      </c>
      <c r="N19" s="32">
        <v>1660</v>
      </c>
      <c r="O19" s="32">
        <v>943231</v>
      </c>
      <c r="P19" s="32">
        <v>36984</v>
      </c>
      <c r="Q19" s="32">
        <v>886736</v>
      </c>
      <c r="R19" s="32">
        <v>36894</v>
      </c>
      <c r="S19" s="32">
        <v>825982</v>
      </c>
      <c r="T19" s="32">
        <v>36894</v>
      </c>
      <c r="U19" s="32"/>
      <c r="V19" s="32"/>
      <c r="W19" s="220"/>
      <c r="X19" s="220"/>
      <c r="Y19" s="220"/>
      <c r="Z19" s="220"/>
      <c r="AA19" s="221"/>
      <c r="AB19" s="221">
        <f t="shared" si="0"/>
        <v>7465756</v>
      </c>
      <c r="AC19" s="32">
        <f t="shared" si="1"/>
        <v>401416</v>
      </c>
      <c r="AD19" s="32">
        <f t="shared" si="2"/>
        <v>0</v>
      </c>
    </row>
    <row r="20" spans="1:30">
      <c r="A20" s="2" t="s">
        <v>51</v>
      </c>
      <c r="B20" s="29" t="s">
        <v>52</v>
      </c>
      <c r="C20" s="32">
        <v>1118800</v>
      </c>
      <c r="D20" s="32">
        <v>107015</v>
      </c>
      <c r="E20" s="32">
        <v>1129331</v>
      </c>
      <c r="F20" s="32">
        <v>107015</v>
      </c>
      <c r="G20" s="32">
        <v>1122334</v>
      </c>
      <c r="H20" s="32">
        <v>107015</v>
      </c>
      <c r="I20" s="32">
        <v>1098317</v>
      </c>
      <c r="J20" s="32">
        <v>107015</v>
      </c>
      <c r="K20" s="32">
        <v>1104470</v>
      </c>
      <c r="L20" s="32">
        <v>107015</v>
      </c>
      <c r="M20" s="32">
        <v>793401</v>
      </c>
      <c r="N20" s="32">
        <v>243947</v>
      </c>
      <c r="O20" s="32">
        <v>1060301</v>
      </c>
      <c r="P20" s="32">
        <v>144848</v>
      </c>
      <c r="Q20" s="32">
        <v>1058417</v>
      </c>
      <c r="R20" s="32">
        <v>144848</v>
      </c>
      <c r="S20" s="32">
        <v>1050018</v>
      </c>
      <c r="T20" s="32">
        <v>144848</v>
      </c>
      <c r="U20" s="32"/>
      <c r="V20" s="32"/>
      <c r="W20" s="220"/>
      <c r="X20" s="220"/>
      <c r="Y20" s="220"/>
      <c r="Z20" s="220"/>
      <c r="AA20" s="221"/>
      <c r="AB20" s="221">
        <f t="shared" si="0"/>
        <v>9535389</v>
      </c>
      <c r="AC20" s="32">
        <f t="shared" si="1"/>
        <v>1213566</v>
      </c>
      <c r="AD20" s="32">
        <f t="shared" si="2"/>
        <v>0</v>
      </c>
    </row>
    <row r="21" spans="1:30">
      <c r="A21" s="2" t="s">
        <v>53</v>
      </c>
      <c r="B21" s="29" t="s">
        <v>54</v>
      </c>
      <c r="C21" s="32">
        <v>516671</v>
      </c>
      <c r="D21" s="32">
        <v>0</v>
      </c>
      <c r="E21" s="32">
        <v>547165</v>
      </c>
      <c r="F21" s="32">
        <v>0</v>
      </c>
      <c r="G21" s="32">
        <v>527003</v>
      </c>
      <c r="H21" s="32">
        <v>0</v>
      </c>
      <c r="I21" s="32">
        <v>501486</v>
      </c>
      <c r="J21" s="32">
        <v>0</v>
      </c>
      <c r="K21" s="32">
        <v>501486</v>
      </c>
      <c r="L21" s="32">
        <v>0</v>
      </c>
      <c r="M21" s="32">
        <v>482994</v>
      </c>
      <c r="N21" s="32">
        <v>0</v>
      </c>
      <c r="O21" s="32">
        <v>508511</v>
      </c>
      <c r="P21" s="32"/>
      <c r="Q21" s="32">
        <v>508511</v>
      </c>
      <c r="R21" s="32"/>
      <c r="S21" s="32">
        <v>508511</v>
      </c>
      <c r="T21" s="32"/>
      <c r="U21" s="32"/>
      <c r="V21" s="32"/>
      <c r="W21" s="220"/>
      <c r="X21" s="220"/>
      <c r="Y21" s="220"/>
      <c r="Z21" s="220"/>
      <c r="AA21" s="221"/>
      <c r="AB21" s="221">
        <f t="shared" si="0"/>
        <v>4602338</v>
      </c>
      <c r="AC21" s="32">
        <f t="shared" si="1"/>
        <v>0</v>
      </c>
      <c r="AD21" s="32">
        <f t="shared" si="2"/>
        <v>0</v>
      </c>
    </row>
    <row r="22" spans="1:30">
      <c r="A22" s="2" t="s">
        <v>55</v>
      </c>
      <c r="B22" s="29" t="s">
        <v>56</v>
      </c>
      <c r="C22" s="32">
        <v>1144429</v>
      </c>
      <c r="D22" s="32">
        <v>0</v>
      </c>
      <c r="E22" s="32">
        <v>1213273</v>
      </c>
      <c r="F22" s="32">
        <v>33866</v>
      </c>
      <c r="G22" s="32">
        <v>1167316</v>
      </c>
      <c r="H22" s="32">
        <v>34566</v>
      </c>
      <c r="I22" s="32">
        <v>951824</v>
      </c>
      <c r="J22" s="32">
        <v>109156</v>
      </c>
      <c r="K22" s="32">
        <v>951824</v>
      </c>
      <c r="L22" s="32">
        <v>109156</v>
      </c>
      <c r="M22" s="32">
        <v>749663</v>
      </c>
      <c r="N22" s="32">
        <v>185274</v>
      </c>
      <c r="O22" s="32">
        <v>965155</v>
      </c>
      <c r="P22" s="32">
        <v>110684</v>
      </c>
      <c r="Q22" s="32">
        <v>965155</v>
      </c>
      <c r="R22" s="32">
        <v>110684</v>
      </c>
      <c r="S22" s="32">
        <v>965155</v>
      </c>
      <c r="T22" s="32">
        <v>110684</v>
      </c>
      <c r="U22" s="32"/>
      <c r="V22" s="32"/>
      <c r="W22" s="220"/>
      <c r="X22" s="220"/>
      <c r="Y22" s="220"/>
      <c r="Z22" s="220"/>
      <c r="AA22" s="221"/>
      <c r="AB22" s="221">
        <f t="shared" si="0"/>
        <v>9073794</v>
      </c>
      <c r="AC22" s="32">
        <f t="shared" si="1"/>
        <v>804070</v>
      </c>
      <c r="AD22" s="32">
        <f t="shared" si="2"/>
        <v>0</v>
      </c>
    </row>
    <row r="23" spans="1:30">
      <c r="A23" s="2" t="s">
        <v>57</v>
      </c>
      <c r="B23" s="29" t="s">
        <v>58</v>
      </c>
      <c r="C23" s="32">
        <v>5830682</v>
      </c>
      <c r="D23" s="32">
        <v>352764</v>
      </c>
      <c r="E23" s="32">
        <v>5151775</v>
      </c>
      <c r="F23" s="32">
        <v>308442</v>
      </c>
      <c r="G23" s="32">
        <v>4957550</v>
      </c>
      <c r="H23" s="32">
        <v>296830</v>
      </c>
      <c r="I23" s="32">
        <v>4838567</v>
      </c>
      <c r="J23" s="32">
        <v>580876</v>
      </c>
      <c r="K23" s="32">
        <v>5096274</v>
      </c>
      <c r="L23" s="32">
        <v>623004</v>
      </c>
      <c r="M23" s="32">
        <v>5769832</v>
      </c>
      <c r="N23" s="32">
        <v>1040890</v>
      </c>
      <c r="O23" s="32">
        <v>5134254</v>
      </c>
      <c r="P23" s="32">
        <v>639796</v>
      </c>
      <c r="Q23" s="32">
        <v>4889997</v>
      </c>
      <c r="R23" s="32">
        <v>619178</v>
      </c>
      <c r="S23" s="32">
        <v>4888526</v>
      </c>
      <c r="T23" s="32">
        <v>611676</v>
      </c>
      <c r="U23" s="32"/>
      <c r="V23" s="32"/>
      <c r="W23" s="220"/>
      <c r="X23" s="220"/>
      <c r="Y23" s="220"/>
      <c r="Z23" s="220"/>
      <c r="AA23" s="221"/>
      <c r="AB23" s="221">
        <f t="shared" si="0"/>
        <v>46557457</v>
      </c>
      <c r="AC23" s="32">
        <f t="shared" si="1"/>
        <v>5073456</v>
      </c>
      <c r="AD23" s="32">
        <f t="shared" si="2"/>
        <v>0</v>
      </c>
    </row>
    <row r="24" spans="1:30">
      <c r="A24" s="2" t="s">
        <v>59</v>
      </c>
      <c r="B24" s="29" t="s">
        <v>60</v>
      </c>
      <c r="C24" s="32">
        <v>491656</v>
      </c>
      <c r="D24" s="32">
        <v>0</v>
      </c>
      <c r="E24" s="32">
        <v>521146</v>
      </c>
      <c r="F24" s="32">
        <v>0</v>
      </c>
      <c r="G24" s="32">
        <v>501486</v>
      </c>
      <c r="H24" s="32">
        <v>0</v>
      </c>
      <c r="I24" s="32">
        <v>417905</v>
      </c>
      <c r="J24" s="32">
        <v>0</v>
      </c>
      <c r="K24" s="32">
        <v>417905</v>
      </c>
      <c r="L24" s="32">
        <v>0</v>
      </c>
      <c r="M24" s="32">
        <v>340178</v>
      </c>
      <c r="N24" s="32">
        <v>0</v>
      </c>
      <c r="O24" s="32">
        <v>423759</v>
      </c>
      <c r="P24" s="32"/>
      <c r="Q24" s="32">
        <v>423759</v>
      </c>
      <c r="R24" s="32"/>
      <c r="S24" s="32">
        <v>423759</v>
      </c>
      <c r="T24" s="32"/>
      <c r="U24" s="32"/>
      <c r="V24" s="32"/>
      <c r="W24" s="220"/>
      <c r="X24" s="220"/>
      <c r="Y24" s="220"/>
      <c r="Z24" s="220"/>
      <c r="AA24" s="221"/>
      <c r="AB24" s="221">
        <f t="shared" si="0"/>
        <v>3961553</v>
      </c>
      <c r="AC24" s="32">
        <f t="shared" si="1"/>
        <v>0</v>
      </c>
      <c r="AD24" s="32">
        <f t="shared" si="2"/>
        <v>0</v>
      </c>
    </row>
    <row r="25" spans="1:30">
      <c r="A25" s="2" t="s">
        <v>61</v>
      </c>
      <c r="B25" s="29" t="s">
        <v>62</v>
      </c>
      <c r="C25" s="32">
        <v>56961571</v>
      </c>
      <c r="D25" s="32">
        <v>4140270</v>
      </c>
      <c r="E25" s="32">
        <v>60373390</v>
      </c>
      <c r="F25" s="32">
        <v>4389146</v>
      </c>
      <c r="G25" s="32">
        <v>58100802</v>
      </c>
      <c r="H25" s="32">
        <v>4223056</v>
      </c>
      <c r="I25" s="32">
        <v>64280452</v>
      </c>
      <c r="J25" s="32">
        <v>4129698</v>
      </c>
      <c r="K25" s="32">
        <v>64684844</v>
      </c>
      <c r="L25" s="32">
        <v>4133518</v>
      </c>
      <c r="M25" s="32">
        <v>70645343</v>
      </c>
      <c r="N25" s="32">
        <v>4068566</v>
      </c>
      <c r="O25" s="32">
        <v>62284553</v>
      </c>
      <c r="P25" s="32">
        <v>4040862</v>
      </c>
      <c r="Q25" s="32">
        <v>59887765</v>
      </c>
      <c r="R25" s="32">
        <v>3964014</v>
      </c>
      <c r="S25" s="32">
        <v>60038050</v>
      </c>
      <c r="T25" s="32">
        <v>3995710</v>
      </c>
      <c r="U25" s="32"/>
      <c r="V25" s="32"/>
      <c r="W25" s="220"/>
      <c r="X25" s="220"/>
      <c r="Y25" s="220"/>
      <c r="Z25" s="220"/>
      <c r="AA25" s="221"/>
      <c r="AB25" s="221">
        <f t="shared" si="0"/>
        <v>557256770</v>
      </c>
      <c r="AC25" s="32">
        <f t="shared" si="1"/>
        <v>37084840</v>
      </c>
      <c r="AD25" s="32">
        <f t="shared" si="2"/>
        <v>0</v>
      </c>
    </row>
    <row r="26" spans="1:30" s="34" customFormat="1">
      <c r="A26" s="391" t="s">
        <v>63</v>
      </c>
      <c r="B26" s="392"/>
      <c r="C26" s="222">
        <f>SUM(C4:C25)</f>
        <v>243280478</v>
      </c>
      <c r="D26" s="222">
        <f t="shared" ref="D26:Z26" si="3">SUM(D4:D25)</f>
        <v>17982829</v>
      </c>
      <c r="E26" s="222">
        <f t="shared" si="3"/>
        <v>256022462</v>
      </c>
      <c r="F26" s="222">
        <f t="shared" si="3"/>
        <v>18990810</v>
      </c>
      <c r="G26" s="222">
        <f t="shared" si="3"/>
        <v>246842945</v>
      </c>
      <c r="H26" s="222">
        <f t="shared" si="3"/>
        <v>18301561</v>
      </c>
      <c r="I26" s="222">
        <f t="shared" si="3"/>
        <v>245563124</v>
      </c>
      <c r="J26" s="222">
        <f t="shared" si="3"/>
        <v>18047809</v>
      </c>
      <c r="K26" s="222">
        <f t="shared" si="3"/>
        <v>247376276</v>
      </c>
      <c r="L26" s="222">
        <f t="shared" si="3"/>
        <v>18205296</v>
      </c>
      <c r="M26" s="222">
        <f t="shared" si="3"/>
        <v>240809127</v>
      </c>
      <c r="N26" s="222">
        <f t="shared" si="3"/>
        <v>19262819</v>
      </c>
      <c r="O26" s="222">
        <f t="shared" si="3"/>
        <v>241514691</v>
      </c>
      <c r="P26" s="222">
        <f t="shared" si="3"/>
        <v>18359512</v>
      </c>
      <c r="Q26" s="222">
        <f t="shared" si="3"/>
        <v>234709719</v>
      </c>
      <c r="R26" s="222">
        <f t="shared" si="3"/>
        <v>18185151</v>
      </c>
      <c r="S26" s="222">
        <f t="shared" si="3"/>
        <v>234807763</v>
      </c>
      <c r="T26" s="222">
        <f t="shared" si="3"/>
        <v>18289107</v>
      </c>
      <c r="U26" s="222">
        <f t="shared" si="3"/>
        <v>0</v>
      </c>
      <c r="V26" s="222">
        <f t="shared" si="3"/>
        <v>0</v>
      </c>
      <c r="W26" s="222">
        <f>SUM(W4:W25)</f>
        <v>0</v>
      </c>
      <c r="X26" s="222">
        <f t="shared" si="3"/>
        <v>0</v>
      </c>
      <c r="Y26" s="222">
        <f t="shared" si="3"/>
        <v>0</v>
      </c>
      <c r="Z26" s="222">
        <f t="shared" si="3"/>
        <v>0</v>
      </c>
      <c r="AA26" s="222">
        <f>SUM(AA4:AA25)</f>
        <v>0</v>
      </c>
      <c r="AB26" s="222">
        <f>SUM(AB4:AB25)</f>
        <v>2190926585</v>
      </c>
      <c r="AC26" s="222">
        <f>SUM(AC4:AC25)</f>
        <v>165624894</v>
      </c>
      <c r="AD26" s="223">
        <f>SUM(AD4:AD25)</f>
        <v>0</v>
      </c>
    </row>
    <row r="28" spans="1:30">
      <c r="C28" s="233"/>
      <c r="E28" s="233"/>
      <c r="G28" s="233"/>
    </row>
    <row r="29" spans="1:30">
      <c r="AC29" s="147">
        <f>+AC26+AB26+AD26</f>
        <v>2356551479</v>
      </c>
    </row>
    <row r="30" spans="1:30">
      <c r="AC30" s="169">
        <f>+AC29*10%</f>
        <v>235655147.90000001</v>
      </c>
    </row>
    <row r="31" spans="1:30">
      <c r="K31" t="s">
        <v>403</v>
      </c>
      <c r="AA31" t="s">
        <v>208</v>
      </c>
    </row>
    <row r="32" spans="1:30">
      <c r="G32" t="s">
        <v>223</v>
      </c>
    </row>
  </sheetData>
  <mergeCells count="14">
    <mergeCell ref="AB2:AD2"/>
    <mergeCell ref="A26:B26"/>
    <mergeCell ref="M2:N2"/>
    <mergeCell ref="K2:L2"/>
    <mergeCell ref="I2:J2"/>
    <mergeCell ref="G2:H2"/>
    <mergeCell ref="E2:F2"/>
    <mergeCell ref="C2:D2"/>
    <mergeCell ref="U2:V2"/>
    <mergeCell ref="S2:T2"/>
    <mergeCell ref="Q2:R2"/>
    <mergeCell ref="O2:P2"/>
    <mergeCell ref="W2:X2"/>
    <mergeCell ref="Y2:Z2"/>
  </mergeCells>
  <pageMargins left="0.7" right="0.7" top="0.75" bottom="0.75" header="0.3" footer="0.3"/>
  <pageSetup scale="3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953A-7CEF-4514-9BD0-AC53AE5D3D67}">
  <dimension ref="A1:N26"/>
  <sheetViews>
    <sheetView workbookViewId="0">
      <selection activeCell="O24" sqref="O24"/>
    </sheetView>
  </sheetViews>
  <sheetFormatPr baseColWidth="10" defaultRowHeight="15"/>
  <cols>
    <col min="1" max="1" width="32.5703125" customWidth="1"/>
    <col min="3" max="3" width="12" bestFit="1" customWidth="1"/>
    <col min="4" max="4" width="14" customWidth="1"/>
    <col min="5" max="6" width="12" bestFit="1" customWidth="1"/>
    <col min="7" max="7" width="13.42578125" customWidth="1"/>
    <col min="8" max="8" width="13" customWidth="1"/>
    <col min="9" max="11" width="12" bestFit="1" customWidth="1"/>
  </cols>
  <sheetData>
    <row r="1" spans="1:14">
      <c r="A1" s="4" t="s">
        <v>64</v>
      </c>
      <c r="C1" s="264" t="s">
        <v>90</v>
      </c>
      <c r="D1" s="264" t="s">
        <v>229</v>
      </c>
      <c r="E1" s="264" t="s">
        <v>224</v>
      </c>
      <c r="F1" s="264" t="s">
        <v>128</v>
      </c>
      <c r="G1" s="264" t="s">
        <v>231</v>
      </c>
      <c r="H1" s="264" t="s">
        <v>129</v>
      </c>
      <c r="I1" s="264" t="s">
        <v>65</v>
      </c>
      <c r="J1" s="264" t="s">
        <v>130</v>
      </c>
      <c r="K1" s="264" t="s">
        <v>131</v>
      </c>
      <c r="L1" s="264" t="s">
        <v>132</v>
      </c>
      <c r="M1" s="264" t="s">
        <v>133</v>
      </c>
      <c r="N1" s="264" t="s">
        <v>134</v>
      </c>
    </row>
    <row r="2" spans="1:14">
      <c r="A2" s="1" t="s">
        <v>17</v>
      </c>
      <c r="B2" s="29" t="s">
        <v>18</v>
      </c>
      <c r="C2" s="32"/>
      <c r="D2" s="32"/>
      <c r="E2" s="32"/>
      <c r="F2" s="32"/>
      <c r="G2" s="32"/>
      <c r="H2" s="283"/>
      <c r="I2" s="32"/>
      <c r="J2" s="32"/>
      <c r="K2" s="32"/>
      <c r="L2" s="32"/>
      <c r="M2" s="32"/>
      <c r="N2" s="32"/>
    </row>
    <row r="3" spans="1:14">
      <c r="A3" s="263" t="s">
        <v>432</v>
      </c>
      <c r="B3" s="130" t="s">
        <v>412</v>
      </c>
      <c r="C3" s="32">
        <v>18228437</v>
      </c>
      <c r="D3" s="275">
        <v>18628893</v>
      </c>
      <c r="E3" s="221">
        <v>15719587</v>
      </c>
      <c r="F3" s="32">
        <v>16676385</v>
      </c>
      <c r="G3" s="281">
        <v>16147253</v>
      </c>
      <c r="H3" s="284">
        <v>16178235</v>
      </c>
      <c r="I3" s="282">
        <f>AC!I94</f>
        <v>19784734</v>
      </c>
      <c r="J3" s="32">
        <f>AC!I108</f>
        <v>20054169</v>
      </c>
      <c r="K3" s="32">
        <f>AC!I133</f>
        <v>20238210</v>
      </c>
      <c r="L3" s="32">
        <f>AC!I148</f>
        <v>0</v>
      </c>
      <c r="M3" s="32">
        <f>AC!I174</f>
        <v>0</v>
      </c>
      <c r="N3" s="32">
        <f>AC!I229</f>
        <v>0</v>
      </c>
    </row>
    <row r="4" spans="1:14">
      <c r="A4" s="2" t="s">
        <v>19</v>
      </c>
      <c r="B4" s="130" t="s">
        <v>20</v>
      </c>
      <c r="C4" s="32">
        <v>26268456</v>
      </c>
      <c r="D4" s="276">
        <v>28099384</v>
      </c>
      <c r="E4" s="221">
        <v>22614496</v>
      </c>
      <c r="F4" s="32">
        <v>24923503</v>
      </c>
      <c r="G4" s="281">
        <v>25098532</v>
      </c>
      <c r="H4" s="284">
        <v>25737074</v>
      </c>
      <c r="I4" s="282">
        <f>'E-403'!I73</f>
        <v>25761945</v>
      </c>
      <c r="J4" s="32">
        <f>'E-403'!I81</f>
        <v>25130040</v>
      </c>
      <c r="K4" s="32">
        <f>'E-403'!I89</f>
        <v>25309341</v>
      </c>
      <c r="L4" s="32">
        <f>'E-403'!I103</f>
        <v>0</v>
      </c>
      <c r="M4" s="32">
        <f>'E-403'!I121</f>
        <v>0</v>
      </c>
      <c r="N4" s="32">
        <f>'E-403'!I136</f>
        <v>0</v>
      </c>
    </row>
    <row r="5" spans="1:14">
      <c r="A5" s="2" t="s">
        <v>21</v>
      </c>
      <c r="B5" s="29" t="s">
        <v>22</v>
      </c>
      <c r="C5" s="32">
        <v>15695889</v>
      </c>
      <c r="D5" s="276">
        <v>17093190</v>
      </c>
      <c r="E5" s="221">
        <v>15571734</v>
      </c>
      <c r="F5" s="32">
        <v>17728688</v>
      </c>
      <c r="G5" s="281">
        <v>17776958</v>
      </c>
      <c r="H5" s="284">
        <v>18065302</v>
      </c>
      <c r="I5" s="282">
        <f>'E-414'!I97</f>
        <v>18724435</v>
      </c>
      <c r="J5" s="32">
        <f>'E-414'!I109</f>
        <v>19777746</v>
      </c>
      <c r="K5" s="32">
        <f>'E-414'!I121</f>
        <v>20102850</v>
      </c>
      <c r="L5" s="32">
        <f>'E-414'!I135</f>
        <v>0</v>
      </c>
      <c r="M5" s="32">
        <f>'E-414'!I151</f>
        <v>0</v>
      </c>
      <c r="N5" s="32">
        <f>'E-414'!I163</f>
        <v>0</v>
      </c>
    </row>
    <row r="6" spans="1:14">
      <c r="A6" s="2" t="s">
        <v>23</v>
      </c>
      <c r="B6" s="29" t="s">
        <v>24</v>
      </c>
      <c r="C6" s="32">
        <v>10527943</v>
      </c>
      <c r="D6" s="276">
        <v>11157706</v>
      </c>
      <c r="E6" s="221">
        <v>9385199</v>
      </c>
      <c r="F6" s="32">
        <v>10858560</v>
      </c>
      <c r="G6" s="281">
        <v>10911342</v>
      </c>
      <c r="H6" s="284">
        <v>10734895</v>
      </c>
      <c r="I6" s="282">
        <f>'E-417'!I68</f>
        <v>11221929</v>
      </c>
      <c r="J6" s="32">
        <f>'E-417'!I81</f>
        <v>11784182</v>
      </c>
      <c r="K6" s="32">
        <f>'E-417'!I97</f>
        <v>11336045</v>
      </c>
      <c r="L6" s="32">
        <f>'E-417'!I110</f>
        <v>0</v>
      </c>
      <c r="M6" s="32">
        <f>'E-417'!I121</f>
        <v>0</v>
      </c>
      <c r="N6" s="32">
        <f>'E-417'!I130</f>
        <v>0</v>
      </c>
    </row>
    <row r="7" spans="1:14">
      <c r="A7" s="2" t="s">
        <v>341</v>
      </c>
      <c r="B7" s="29" t="s">
        <v>26</v>
      </c>
      <c r="C7" s="32">
        <v>29886050</v>
      </c>
      <c r="D7" s="276">
        <v>32400033</v>
      </c>
      <c r="E7" s="221">
        <v>25445960</v>
      </c>
      <c r="F7" s="32">
        <v>27147268</v>
      </c>
      <c r="G7" s="281">
        <v>27001114</v>
      </c>
      <c r="H7" s="284">
        <v>27705203</v>
      </c>
      <c r="I7" s="282">
        <f>'E-424'!I74</f>
        <v>27084372</v>
      </c>
      <c r="J7" s="32">
        <f>'E-424'!I82</f>
        <v>27015183</v>
      </c>
      <c r="K7" s="32">
        <f>'E-424'!I94</f>
        <v>27131966</v>
      </c>
      <c r="L7" s="32">
        <f>'E-424'!I114</f>
        <v>0</v>
      </c>
      <c r="M7" s="32">
        <f>'E-424'!I143</f>
        <v>0</v>
      </c>
      <c r="N7" s="32">
        <f>'E-424'!I175</f>
        <v>0</v>
      </c>
    </row>
    <row r="8" spans="1:14">
      <c r="A8" s="2" t="s">
        <v>27</v>
      </c>
      <c r="B8" s="29" t="s">
        <v>28</v>
      </c>
      <c r="C8" s="32">
        <v>5401335</v>
      </c>
      <c r="D8" s="276">
        <v>5863538</v>
      </c>
      <c r="E8" s="221">
        <v>3700552</v>
      </c>
      <c r="F8" s="32">
        <v>4257476</v>
      </c>
      <c r="G8" s="281">
        <v>4243795</v>
      </c>
      <c r="H8" s="284">
        <v>4316590</v>
      </c>
      <c r="I8" s="282">
        <f>'F-375'!I55</f>
        <v>4130617</v>
      </c>
      <c r="J8" s="32">
        <f>'F-375'!I60</f>
        <v>5248731</v>
      </c>
      <c r="K8" s="32">
        <f>'F-375'!I66</f>
        <v>5700250</v>
      </c>
      <c r="L8" s="32">
        <f>'F-375'!I72</f>
        <v>0</v>
      </c>
      <c r="M8" s="32">
        <f>'F-375'!I85</f>
        <v>0</v>
      </c>
      <c r="N8" s="32">
        <f>'F-375'!I94</f>
        <v>0</v>
      </c>
    </row>
    <row r="9" spans="1:14">
      <c r="A9" s="2" t="s">
        <v>29</v>
      </c>
      <c r="B9" s="29" t="s">
        <v>30</v>
      </c>
      <c r="C9" s="32">
        <v>7861759</v>
      </c>
      <c r="D9" s="276">
        <v>8511945</v>
      </c>
      <c r="E9" s="221">
        <v>9306097</v>
      </c>
      <c r="F9" s="32">
        <v>8802976</v>
      </c>
      <c r="G9" s="281">
        <v>8852192</v>
      </c>
      <c r="H9" s="284">
        <v>8046594</v>
      </c>
      <c r="I9" s="282">
        <f>'F-405'!I71</f>
        <v>7585170</v>
      </c>
      <c r="J9" s="32">
        <f>'F-405'!I84</f>
        <v>7613561</v>
      </c>
      <c r="K9" s="32">
        <f>'F-405'!I99</f>
        <v>7493108</v>
      </c>
      <c r="L9" s="32">
        <f>'F-405'!I108</f>
        <v>0</v>
      </c>
      <c r="M9" s="32">
        <f>'F-405'!I124</f>
        <v>0</v>
      </c>
      <c r="N9" s="32">
        <f>'F-405'!I136</f>
        <v>0</v>
      </c>
    </row>
    <row r="10" spans="1:14">
      <c r="A10" s="2" t="s">
        <v>31</v>
      </c>
      <c r="B10" s="29" t="s">
        <v>32</v>
      </c>
      <c r="C10" s="32">
        <v>4323530</v>
      </c>
      <c r="D10" s="276">
        <v>4653014</v>
      </c>
      <c r="E10" s="221">
        <v>4690763</v>
      </c>
      <c r="F10" s="32">
        <v>4902671</v>
      </c>
      <c r="G10" s="281">
        <v>4899288</v>
      </c>
      <c r="H10" s="284">
        <v>5922722</v>
      </c>
      <c r="I10" s="282">
        <f>'F-407'!I53</f>
        <v>5922000</v>
      </c>
      <c r="J10" s="32">
        <f>'F-407'!I59</f>
        <v>4739178</v>
      </c>
      <c r="K10" s="32">
        <f>'F-407'!I68</f>
        <v>4739675</v>
      </c>
      <c r="L10" s="32">
        <f>'F-407'!I76</f>
        <v>0</v>
      </c>
      <c r="M10" s="32">
        <f>'F-407'!I90</f>
        <v>0</v>
      </c>
      <c r="N10" s="32">
        <f>'F-407'!I106</f>
        <v>0</v>
      </c>
    </row>
    <row r="11" spans="1:14">
      <c r="A11" s="2" t="s">
        <v>33</v>
      </c>
      <c r="B11" s="29" t="s">
        <v>34</v>
      </c>
      <c r="C11" s="32">
        <v>9558021</v>
      </c>
      <c r="D11" s="276">
        <v>10220190</v>
      </c>
      <c r="E11" s="221">
        <v>9348835</v>
      </c>
      <c r="F11" s="32">
        <v>9382193</v>
      </c>
      <c r="G11" s="281">
        <v>9373972</v>
      </c>
      <c r="H11" s="284">
        <v>10218305</v>
      </c>
      <c r="I11" s="282">
        <f>'F-413'!I54</f>
        <v>10136103</v>
      </c>
      <c r="J11" s="32">
        <f>'F-413'!I60</f>
        <v>9554945</v>
      </c>
      <c r="K11" s="32">
        <f>'F-413'!I65</f>
        <v>9756984</v>
      </c>
      <c r="L11" s="32">
        <f>'F-413'!I69</f>
        <v>0</v>
      </c>
      <c r="M11" s="32">
        <f>'F-413'!I77</f>
        <v>0</v>
      </c>
      <c r="N11" s="32">
        <f>'F-413'!I95</f>
        <v>0</v>
      </c>
    </row>
    <row r="12" spans="1:14">
      <c r="A12" s="2" t="s">
        <v>35</v>
      </c>
      <c r="B12" s="29" t="s">
        <v>36</v>
      </c>
      <c r="C12" s="32">
        <v>4855682</v>
      </c>
      <c r="D12" s="276">
        <v>5135028</v>
      </c>
      <c r="E12" s="221">
        <v>6245988</v>
      </c>
      <c r="F12" s="32">
        <v>6252447</v>
      </c>
      <c r="G12" s="281">
        <v>6247581</v>
      </c>
      <c r="H12" s="284">
        <v>6376758</v>
      </c>
      <c r="I12" s="282">
        <f>'F-425'!I50</f>
        <v>6262894</v>
      </c>
      <c r="J12" s="32">
        <f>'F-425'!I58</f>
        <v>6285891</v>
      </c>
      <c r="K12" s="32">
        <f>'F-425'!I67</f>
        <v>6286575</v>
      </c>
      <c r="L12" s="32">
        <f>'F-425'!I79</f>
        <v>0</v>
      </c>
      <c r="M12" s="32">
        <f>'F-425'!I91</f>
        <v>0</v>
      </c>
      <c r="N12" s="32">
        <f>'F-425'!I114</f>
        <v>0</v>
      </c>
    </row>
    <row r="13" spans="1:14">
      <c r="A13" s="2" t="s">
        <v>37</v>
      </c>
      <c r="B13" s="29" t="s">
        <v>38</v>
      </c>
      <c r="C13" s="32">
        <v>9911711</v>
      </c>
      <c r="D13" s="276">
        <v>10817066</v>
      </c>
      <c r="E13" s="221">
        <v>10646072</v>
      </c>
      <c r="F13" s="32">
        <v>10875941</v>
      </c>
      <c r="G13" s="281">
        <v>10666031</v>
      </c>
      <c r="H13" s="284">
        <v>10192458</v>
      </c>
      <c r="I13" s="282">
        <f>'F-426'!I43</f>
        <v>10130978</v>
      </c>
      <c r="J13" s="32">
        <f>'F-426'!I48</f>
        <v>9632153</v>
      </c>
      <c r="K13" s="32">
        <f>'F-426'!I55</f>
        <v>9086880</v>
      </c>
      <c r="L13" s="32">
        <f>'F-426'!I67</f>
        <v>0</v>
      </c>
      <c r="M13" s="32">
        <f>'F-426'!I76</f>
        <v>0</v>
      </c>
      <c r="N13" s="32">
        <f>'F-426'!I83</f>
        <v>0</v>
      </c>
    </row>
    <row r="14" spans="1:14">
      <c r="A14" s="2" t="s">
        <v>39</v>
      </c>
      <c r="B14" s="29" t="s">
        <v>40</v>
      </c>
      <c r="C14" s="32">
        <v>8493905</v>
      </c>
      <c r="D14" s="276">
        <v>9283979</v>
      </c>
      <c r="E14" s="221">
        <v>8599698</v>
      </c>
      <c r="F14" s="32">
        <v>8342843</v>
      </c>
      <c r="G14" s="281">
        <v>8399093</v>
      </c>
      <c r="H14" s="284">
        <v>8546566</v>
      </c>
      <c r="I14" s="282">
        <f>'F-428'!I53</f>
        <v>8826673</v>
      </c>
      <c r="J14" s="32">
        <f>'F-428'!I63</f>
        <v>8627187</v>
      </c>
      <c r="K14" s="32">
        <f>'F-428'!I72</f>
        <v>8652751</v>
      </c>
      <c r="L14" s="32">
        <f>'F-428'!I79</f>
        <v>0</v>
      </c>
      <c r="M14" s="32">
        <f>'F-428'!I87</f>
        <v>0</v>
      </c>
      <c r="N14" s="32">
        <f>'F-426'!I83</f>
        <v>0</v>
      </c>
    </row>
    <row r="15" spans="1:14">
      <c r="A15" s="2" t="s">
        <v>41</v>
      </c>
      <c r="B15" s="29" t="s">
        <v>42</v>
      </c>
      <c r="C15" s="32">
        <v>724618</v>
      </c>
      <c r="D15" s="276">
        <v>813283</v>
      </c>
      <c r="E15" s="221">
        <v>773497</v>
      </c>
      <c r="F15" s="32">
        <v>718759</v>
      </c>
      <c r="G15" s="281">
        <v>361693</v>
      </c>
      <c r="H15" s="284">
        <v>368769</v>
      </c>
      <c r="I15" s="282">
        <f>'G-389'!I48</f>
        <v>358921</v>
      </c>
      <c r="J15" s="32">
        <f>'G-389'!I55</f>
        <v>361289</v>
      </c>
      <c r="K15" s="32">
        <f>'G-389'!I62</f>
        <v>361973</v>
      </c>
      <c r="L15" s="32">
        <f>'G-389'!I71</f>
        <v>0</v>
      </c>
      <c r="M15" s="32">
        <f>'G-389'!I81</f>
        <v>0</v>
      </c>
      <c r="N15" s="32">
        <f>'G-389'!I90</f>
        <v>0</v>
      </c>
    </row>
    <row r="16" spans="1:14">
      <c r="A16" s="2" t="s">
        <v>43</v>
      </c>
      <c r="B16" s="29" t="s">
        <v>44</v>
      </c>
      <c r="C16" s="32">
        <v>159835</v>
      </c>
      <c r="D16" s="276">
        <v>163044</v>
      </c>
      <c r="E16" s="221">
        <v>19021</v>
      </c>
      <c r="F16" s="32">
        <v>81664</v>
      </c>
      <c r="G16" s="281">
        <v>84576</v>
      </c>
      <c r="H16" s="284">
        <v>85760</v>
      </c>
      <c r="I16" s="282">
        <f>'G-394'!I54</f>
        <v>82807</v>
      </c>
      <c r="J16" s="32">
        <f>'G-394'!I60</f>
        <v>83510</v>
      </c>
      <c r="K16" s="32">
        <f>'G-394'!I68</f>
        <v>83512</v>
      </c>
      <c r="L16" s="32">
        <f>'G-394'!I75</f>
        <v>0</v>
      </c>
      <c r="M16" s="32">
        <f>'G-394'!I84</f>
        <v>0</v>
      </c>
      <c r="N16" s="32">
        <f>'G-394'!I97</f>
        <v>0</v>
      </c>
    </row>
    <row r="17" spans="1:14">
      <c r="A17" s="2" t="s">
        <v>45</v>
      </c>
      <c r="B17" s="29" t="s">
        <v>46</v>
      </c>
      <c r="C17" s="32">
        <v>2514764</v>
      </c>
      <c r="D17" s="276">
        <v>2712933</v>
      </c>
      <c r="E17" s="221">
        <v>2584197</v>
      </c>
      <c r="F17" s="32">
        <v>2526058</v>
      </c>
      <c r="G17" s="281">
        <v>2552862</v>
      </c>
      <c r="H17" s="284">
        <v>2595862</v>
      </c>
      <c r="I17" s="282">
        <f>'G-412'!I53</f>
        <v>2540901</v>
      </c>
      <c r="J17" s="32">
        <f>'G-412'!I62</f>
        <v>2550953</v>
      </c>
      <c r="K17" s="32">
        <f>'G-412'!I69</f>
        <v>2551386</v>
      </c>
      <c r="L17" s="32">
        <f>'G-412'!I76</f>
        <v>0</v>
      </c>
      <c r="M17" s="32">
        <f>'G-412'!I89</f>
        <v>0</v>
      </c>
      <c r="N17" s="32">
        <f>'G-412'!I103</f>
        <v>0</v>
      </c>
    </row>
    <row r="18" spans="1:14">
      <c r="A18" s="2" t="s">
        <v>47</v>
      </c>
      <c r="B18" s="29" t="s">
        <v>48</v>
      </c>
      <c r="C18" s="32">
        <v>3558445</v>
      </c>
      <c r="D18" s="276">
        <v>3755289</v>
      </c>
      <c r="E18" s="221">
        <v>3065789</v>
      </c>
      <c r="F18" s="32">
        <v>2902406</v>
      </c>
      <c r="G18" s="281">
        <v>2884277</v>
      </c>
      <c r="H18" s="284">
        <v>2960791</v>
      </c>
      <c r="I18" s="282">
        <f>'G-416'!I65</f>
        <v>2892589</v>
      </c>
      <c r="J18" s="32">
        <f>'G-416'!I70</f>
        <v>2899727</v>
      </c>
      <c r="K18" s="32">
        <f>'G-416'!I75</f>
        <v>2900234</v>
      </c>
      <c r="L18" s="32">
        <f>'G-416'!I80</f>
        <v>0</v>
      </c>
      <c r="M18" s="32">
        <f>'G-416'!I88</f>
        <v>0</v>
      </c>
      <c r="N18" s="32">
        <f>'G-416'!I97</f>
        <v>0</v>
      </c>
    </row>
    <row r="19" spans="1:14">
      <c r="A19" s="2" t="s">
        <v>49</v>
      </c>
      <c r="B19" s="29" t="s">
        <v>50</v>
      </c>
      <c r="C19" s="32">
        <v>0</v>
      </c>
      <c r="D19" s="32">
        <v>0</v>
      </c>
      <c r="E19" s="32">
        <v>0</v>
      </c>
      <c r="F19" s="32">
        <v>0</v>
      </c>
      <c r="G19" s="281">
        <v>0</v>
      </c>
      <c r="H19" s="32">
        <v>0</v>
      </c>
      <c r="I19" s="32">
        <v>0</v>
      </c>
      <c r="J19" s="32">
        <v>0</v>
      </c>
      <c r="K19" s="32">
        <v>0</v>
      </c>
      <c r="L19" s="32"/>
      <c r="M19" s="32"/>
      <c r="N19" s="32"/>
    </row>
    <row r="20" spans="1:14">
      <c r="A20" s="2" t="s">
        <v>51</v>
      </c>
      <c r="B20" s="29" t="s">
        <v>52</v>
      </c>
      <c r="C20" s="32">
        <v>203856</v>
      </c>
      <c r="D20" s="276">
        <v>207948</v>
      </c>
      <c r="E20" s="221">
        <v>207948</v>
      </c>
      <c r="F20" s="32">
        <v>208309</v>
      </c>
      <c r="G20" s="281">
        <v>214858</v>
      </c>
      <c r="H20" s="286">
        <v>220103</v>
      </c>
      <c r="I20" s="282">
        <f>'G-419'!I48</f>
        <v>212000</v>
      </c>
      <c r="J20" s="32">
        <f>'G-419'!I53</f>
        <v>219278</v>
      </c>
      <c r="K20" s="32">
        <f>'G-419'!I59</f>
        <v>219278</v>
      </c>
      <c r="L20" s="32">
        <f>'G-419'!I67</f>
        <v>0</v>
      </c>
      <c r="M20" s="32">
        <f>'G-419'!I81</f>
        <v>0</v>
      </c>
      <c r="N20" s="32">
        <f>'G-419'!I94</f>
        <v>0</v>
      </c>
    </row>
    <row r="21" spans="1:14">
      <c r="A21" s="2" t="s">
        <v>53</v>
      </c>
      <c r="B21" s="29" t="s">
        <v>54</v>
      </c>
      <c r="C21" s="32">
        <v>325193</v>
      </c>
      <c r="D21" s="276">
        <v>363465</v>
      </c>
      <c r="E21" s="32">
        <v>0</v>
      </c>
      <c r="F21" s="32">
        <v>0</v>
      </c>
      <c r="G21" s="281">
        <v>0</v>
      </c>
      <c r="H21" s="32">
        <v>0</v>
      </c>
      <c r="I21" s="28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</row>
    <row r="22" spans="1:14">
      <c r="A22" s="2" t="s">
        <v>55</v>
      </c>
      <c r="B22" s="29" t="s">
        <v>56</v>
      </c>
      <c r="C22" s="32">
        <v>166769</v>
      </c>
      <c r="D22" s="276">
        <v>170117</v>
      </c>
      <c r="E22" s="32">
        <v>0</v>
      </c>
      <c r="F22" s="32">
        <v>0</v>
      </c>
      <c r="G22" s="281">
        <v>0</v>
      </c>
      <c r="H22" s="32">
        <v>0</v>
      </c>
      <c r="I22" s="28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</row>
    <row r="23" spans="1:14">
      <c r="A23" s="2" t="s">
        <v>57</v>
      </c>
      <c r="B23" s="29" t="s">
        <v>58</v>
      </c>
      <c r="C23" s="32">
        <v>4413897</v>
      </c>
      <c r="D23" s="276">
        <v>4748544</v>
      </c>
      <c r="E23" s="221">
        <v>4177421</v>
      </c>
      <c r="F23" s="32">
        <v>3961486</v>
      </c>
      <c r="G23" s="281">
        <v>3947635</v>
      </c>
      <c r="H23" s="286">
        <v>4319935</v>
      </c>
      <c r="I23" s="282">
        <f>'G-416'!I65</f>
        <v>2892589</v>
      </c>
      <c r="J23" s="32">
        <f>'G-446'!I49</f>
        <v>4368958</v>
      </c>
      <c r="K23" s="32">
        <f>'G-446'!I55</f>
        <v>4708006</v>
      </c>
      <c r="L23" s="32">
        <f>'G-446'!I64</f>
        <v>0</v>
      </c>
      <c r="M23" s="32">
        <f>'G-446'!I75</f>
        <v>0</v>
      </c>
      <c r="N23" s="32">
        <f>'G-446'!I89</f>
        <v>0</v>
      </c>
    </row>
    <row r="24" spans="1:14">
      <c r="A24" s="2" t="s">
        <v>59</v>
      </c>
      <c r="B24" s="29" t="s">
        <v>60</v>
      </c>
      <c r="C24" s="32">
        <v>0</v>
      </c>
      <c r="D24" s="32">
        <v>0</v>
      </c>
      <c r="E24" s="32">
        <v>0</v>
      </c>
      <c r="F24" s="32">
        <v>0</v>
      </c>
      <c r="G24" s="281">
        <v>0</v>
      </c>
      <c r="H24" s="32">
        <v>0</v>
      </c>
      <c r="I24" s="28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</row>
    <row r="25" spans="1:14">
      <c r="A25" s="2" t="s">
        <v>61</v>
      </c>
      <c r="B25" s="29" t="s">
        <v>62</v>
      </c>
      <c r="C25" s="32">
        <v>38329306</v>
      </c>
      <c r="D25" s="276">
        <v>40717600</v>
      </c>
      <c r="E25" s="221">
        <v>31421352</v>
      </c>
      <c r="F25" s="32">
        <v>33153006</v>
      </c>
      <c r="G25" s="32">
        <v>33235687</v>
      </c>
      <c r="H25" s="285">
        <v>33717336</v>
      </c>
      <c r="I25" s="32">
        <f>LICEO!I112</f>
        <v>33316798</v>
      </c>
      <c r="J25" s="32">
        <f>LICEO!I139</f>
        <v>33386587</v>
      </c>
      <c r="K25" s="32">
        <f>LICEO!I181</f>
        <v>33390040</v>
      </c>
      <c r="L25" s="32">
        <f>LICEO!I214</f>
        <v>0</v>
      </c>
      <c r="M25" s="32">
        <f>LICEO!I267</f>
        <v>0</v>
      </c>
      <c r="N25" s="32">
        <f>LICEO!I285</f>
        <v>0</v>
      </c>
    </row>
    <row r="26" spans="1:14">
      <c r="B26" s="130" t="s">
        <v>433</v>
      </c>
      <c r="C26" s="32">
        <f>SUM(C3:C25)</f>
        <v>201409401</v>
      </c>
      <c r="D26" s="32">
        <f t="shared" ref="D26:F26" si="0">SUM(D3:D25)</f>
        <v>215516189</v>
      </c>
      <c r="E26" s="32">
        <f t="shared" si="0"/>
        <v>183524206</v>
      </c>
      <c r="F26" s="32">
        <f t="shared" si="0"/>
        <v>193702639</v>
      </c>
      <c r="G26" s="32">
        <f>SUM(G3:G25)</f>
        <v>192898739</v>
      </c>
      <c r="H26" s="32">
        <f>SUM(H3:H25)</f>
        <v>196309258</v>
      </c>
      <c r="I26" s="32">
        <f>SUM(I3:I25)</f>
        <v>197868455</v>
      </c>
      <c r="J26" s="32">
        <f t="shared" ref="J26:N26" si="1">SUM(J3:J25)</f>
        <v>199333268</v>
      </c>
      <c r="K26" s="32">
        <f t="shared" si="1"/>
        <v>200049064</v>
      </c>
      <c r="L26" s="32">
        <f t="shared" si="1"/>
        <v>0</v>
      </c>
      <c r="M26" s="32">
        <f t="shared" si="1"/>
        <v>0</v>
      </c>
      <c r="N26" s="32">
        <f t="shared" si="1"/>
        <v>0</v>
      </c>
    </row>
  </sheetData>
  <phoneticPr fontId="16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2:G33"/>
  <sheetViews>
    <sheetView workbookViewId="0">
      <selection activeCell="N28" sqref="N28"/>
    </sheetView>
  </sheetViews>
  <sheetFormatPr baseColWidth="10" defaultRowHeight="11.25"/>
  <cols>
    <col min="1" max="2" width="11.42578125" style="7"/>
    <col min="3" max="3" width="22.5703125" style="7" bestFit="1" customWidth="1"/>
    <col min="4" max="4" width="11.28515625" style="7" bestFit="1" customWidth="1"/>
    <col min="5" max="5" width="20" style="7" bestFit="1" customWidth="1"/>
    <col min="6" max="6" width="18.85546875" style="7" bestFit="1" customWidth="1"/>
    <col min="7" max="16384" width="11.42578125" style="7"/>
  </cols>
  <sheetData>
    <row r="2" spans="2:7">
      <c r="B2" s="22"/>
      <c r="C2" s="65" t="s">
        <v>136</v>
      </c>
      <c r="D2" s="66">
        <f>+AC!I245</f>
        <v>255315822</v>
      </c>
      <c r="E2" s="67"/>
    </row>
    <row r="3" spans="2:7">
      <c r="F3" s="67"/>
    </row>
    <row r="4" spans="2:7">
      <c r="B4" s="68" t="s">
        <v>137</v>
      </c>
      <c r="F4" s="67"/>
    </row>
    <row r="5" spans="2:7">
      <c r="F5" s="67"/>
    </row>
    <row r="6" spans="2:7">
      <c r="B6" s="69"/>
      <c r="C6" s="393" t="s">
        <v>5</v>
      </c>
      <c r="D6" s="393"/>
    </row>
    <row r="7" spans="2:7">
      <c r="B7" s="70" t="s">
        <v>138</v>
      </c>
      <c r="C7" s="70" t="s">
        <v>139</v>
      </c>
      <c r="D7" s="70" t="s">
        <v>140</v>
      </c>
      <c r="E7" s="66" t="s">
        <v>141</v>
      </c>
      <c r="F7" s="71" t="s">
        <v>142</v>
      </c>
    </row>
    <row r="8" spans="2:7">
      <c r="B8" s="72" t="s">
        <v>143</v>
      </c>
      <c r="C8" s="73">
        <f>+SUBVENCION!AB25</f>
        <v>557256770</v>
      </c>
      <c r="D8" s="73">
        <f>+SUBVENCION!AC25</f>
        <v>37084840</v>
      </c>
      <c r="E8" s="74">
        <f>+(C8+D8)/($C$33+$D$33)</f>
        <v>0.27492458728537206</v>
      </c>
      <c r="F8" s="73">
        <f>+IF($D$2*E8&gt;(C8+D8)*0.1,(C8+D8)*0.1,$D$2*E8)</f>
        <v>59434161</v>
      </c>
      <c r="G8" s="128"/>
    </row>
    <row r="9" spans="2:7">
      <c r="B9" s="72" t="s">
        <v>144</v>
      </c>
      <c r="C9" s="73">
        <f>+SUBVENCION!AB4</f>
        <v>291156309</v>
      </c>
      <c r="D9" s="73">
        <f>+SUBVENCION!AC4</f>
        <v>22505870</v>
      </c>
      <c r="E9" s="74">
        <f t="shared" ref="E9:E32" si="0">+(C9+D9)/($C$33+$D$33)</f>
        <v>0.14509070820164433</v>
      </c>
      <c r="F9" s="73">
        <f>+IF($D$2*E9&gt;(C9+D9)*0.1,(C9+D9)*0.1,$D$2*E9)</f>
        <v>31366217.900000002</v>
      </c>
    </row>
    <row r="10" spans="2:7">
      <c r="B10" s="72" t="s">
        <v>145</v>
      </c>
      <c r="C10" s="73">
        <f>+SUBVENCION!AB5</f>
        <v>212954947</v>
      </c>
      <c r="D10" s="73">
        <f>+SUBVENCION!AC5</f>
        <v>13099694</v>
      </c>
      <c r="E10" s="74">
        <f t="shared" si="0"/>
        <v>0.10456609100760747</v>
      </c>
      <c r="F10" s="73">
        <f>+IF($D$2*E10&gt;(C10+D10)*0.1,(C10+D10)*0.1,$D$2*E10)</f>
        <v>22605464.100000001</v>
      </c>
    </row>
    <row r="11" spans="2:7">
      <c r="B11" s="72" t="s">
        <v>146</v>
      </c>
      <c r="C11" s="73">
        <f>+SUBVENCION!AB6</f>
        <v>115141044</v>
      </c>
      <c r="D11" s="73">
        <f>+SUBVENCION!AC6</f>
        <v>6061104</v>
      </c>
      <c r="E11" s="74">
        <f t="shared" si="0"/>
        <v>5.6064475305709426E-2</v>
      </c>
      <c r="F11" s="73">
        <f t="shared" ref="F11:F32" si="1">+IF($D$2*E11&gt;(C11+D11)*0.1,(C11+D11)*0.1,$D$2*E11)</f>
        <v>12120214.800000001</v>
      </c>
    </row>
    <row r="12" spans="2:7">
      <c r="B12" s="72" t="s">
        <v>147</v>
      </c>
      <c r="C12" s="73">
        <f>+SUBVENCION!AB7</f>
        <v>294375799</v>
      </c>
      <c r="D12" s="73">
        <f>+SUBVENCION!AC7</f>
        <v>23147900</v>
      </c>
      <c r="E12" s="74">
        <f t="shared" si="0"/>
        <v>0.14687693143493638</v>
      </c>
      <c r="F12" s="73">
        <f t="shared" si="1"/>
        <v>31752369.900000002</v>
      </c>
    </row>
    <row r="13" spans="2:7">
      <c r="B13" s="75" t="s">
        <v>148</v>
      </c>
      <c r="C13" s="77">
        <v>0</v>
      </c>
      <c r="D13" s="77">
        <v>0</v>
      </c>
      <c r="E13" s="78">
        <f t="shared" si="0"/>
        <v>0</v>
      </c>
      <c r="F13" s="77">
        <f t="shared" si="1"/>
        <v>0</v>
      </c>
    </row>
    <row r="14" spans="2:7">
      <c r="B14" s="72" t="s">
        <v>149</v>
      </c>
      <c r="C14" s="73">
        <f>+SUBVENCION!AB23</f>
        <v>46557457</v>
      </c>
      <c r="D14" s="73">
        <f>+SUBVENCION!AC23</f>
        <v>5073456</v>
      </c>
      <c r="E14" s="74">
        <f t="shared" si="0"/>
        <v>2.3882910448911613E-2</v>
      </c>
      <c r="F14" s="73">
        <f t="shared" si="1"/>
        <v>5163091.3000000007</v>
      </c>
    </row>
    <row r="15" spans="2:7">
      <c r="B15" s="72" t="s">
        <v>150</v>
      </c>
      <c r="C15" s="73">
        <f>+SUBVENCION!AB8</f>
        <v>54732663</v>
      </c>
      <c r="D15" s="73">
        <f>+SUBVENCION!AC8</f>
        <v>2234458</v>
      </c>
      <c r="E15" s="74">
        <f>+(C15+D15)/($C$33+$D$33)</f>
        <v>2.6351280082444254E-2</v>
      </c>
      <c r="F15" s="73">
        <f t="shared" si="1"/>
        <v>5696712.1000000006</v>
      </c>
    </row>
    <row r="16" spans="2:7">
      <c r="B16" s="72" t="s">
        <v>151</v>
      </c>
      <c r="C16" s="73">
        <f>+SUBVENCION!AB9</f>
        <v>98767345</v>
      </c>
      <c r="D16" s="73">
        <f>+SUBVENCION!AC9</f>
        <v>9918512</v>
      </c>
      <c r="E16" s="74">
        <f t="shared" si="0"/>
        <v>5.0274814814803163E-2</v>
      </c>
      <c r="F16" s="73">
        <f t="shared" si="1"/>
        <v>10868585.700000001</v>
      </c>
    </row>
    <row r="17" spans="2:6">
      <c r="B17" s="72" t="s">
        <v>152</v>
      </c>
      <c r="C17" s="73"/>
      <c r="D17" s="73"/>
      <c r="E17" s="74">
        <f t="shared" si="0"/>
        <v>0</v>
      </c>
      <c r="F17" s="73">
        <f t="shared" si="1"/>
        <v>0</v>
      </c>
    </row>
    <row r="18" spans="2:6">
      <c r="B18" s="72" t="s">
        <v>153</v>
      </c>
      <c r="C18" s="73">
        <f>+SUBVENCION!AB11</f>
        <v>97817648</v>
      </c>
      <c r="D18" s="73">
        <f>+SUBVENCION!AC11</f>
        <v>10250566</v>
      </c>
      <c r="E18" s="74">
        <f t="shared" si="0"/>
        <v>4.9989111703986643E-2</v>
      </c>
      <c r="F18" s="73">
        <f t="shared" si="1"/>
        <v>10806821.4</v>
      </c>
    </row>
    <row r="19" spans="2:6">
      <c r="B19" s="72" t="s">
        <v>154</v>
      </c>
      <c r="C19" s="73">
        <f>+SUBVENCION!AB12</f>
        <v>55487865</v>
      </c>
      <c r="D19" s="73">
        <f>+SUBVENCION!AC12</f>
        <v>4008000</v>
      </c>
      <c r="E19" s="74">
        <f t="shared" si="0"/>
        <v>2.7521001146648998E-2</v>
      </c>
      <c r="F19" s="73">
        <f t="shared" si="1"/>
        <v>5949586.5</v>
      </c>
    </row>
    <row r="20" spans="2:6">
      <c r="B20" s="72" t="s">
        <v>155</v>
      </c>
      <c r="C20" s="73">
        <f>+SUBVENCION!AB13</f>
        <v>91024762</v>
      </c>
      <c r="D20" s="73">
        <f>+SUBVENCION!AC13</f>
        <v>9048270</v>
      </c>
      <c r="E20" s="74">
        <f t="shared" si="0"/>
        <v>4.629078051761483E-2</v>
      </c>
      <c r="F20" s="73">
        <f t="shared" si="1"/>
        <v>10007303.200000001</v>
      </c>
    </row>
    <row r="21" spans="2:6">
      <c r="B21" s="72" t="s">
        <v>156</v>
      </c>
      <c r="C21" s="73"/>
      <c r="D21" s="73"/>
      <c r="E21" s="74">
        <f t="shared" si="0"/>
        <v>0</v>
      </c>
      <c r="F21" s="73">
        <f t="shared" si="1"/>
        <v>0</v>
      </c>
    </row>
    <row r="22" spans="2:6">
      <c r="B22" s="72" t="s">
        <v>157</v>
      </c>
      <c r="C22" s="73">
        <f>+SUBVENCION!AB15</f>
        <v>7960119</v>
      </c>
      <c r="D22" s="73">
        <f>+SUBVENCION!AC15</f>
        <v>865456</v>
      </c>
      <c r="E22" s="74">
        <f t="shared" si="0"/>
        <v>4.0824460606604636E-3</v>
      </c>
      <c r="F22" s="73">
        <f t="shared" si="1"/>
        <v>882557.5</v>
      </c>
    </row>
    <row r="23" spans="2:6">
      <c r="B23" s="72" t="s">
        <v>158</v>
      </c>
      <c r="C23" s="73">
        <f>+SUBVENCION!AB16</f>
        <v>7989848</v>
      </c>
      <c r="D23" s="73">
        <f>+SUBVENCION!AC16</f>
        <v>703052</v>
      </c>
      <c r="E23" s="74">
        <f t="shared" si="0"/>
        <v>4.0210745884223225E-3</v>
      </c>
      <c r="F23" s="73">
        <f t="shared" si="1"/>
        <v>869290</v>
      </c>
    </row>
    <row r="24" spans="2:6">
      <c r="B24" s="75" t="s">
        <v>159</v>
      </c>
      <c r="C24" s="77">
        <v>0</v>
      </c>
      <c r="D24" s="77">
        <v>0</v>
      </c>
      <c r="E24" s="78">
        <f t="shared" si="0"/>
        <v>0</v>
      </c>
      <c r="F24" s="77">
        <f t="shared" si="1"/>
        <v>0</v>
      </c>
    </row>
    <row r="25" spans="2:6">
      <c r="B25" s="72" t="s">
        <v>160</v>
      </c>
      <c r="C25" s="73"/>
      <c r="D25" s="73"/>
      <c r="E25" s="74">
        <f t="shared" si="0"/>
        <v>0</v>
      </c>
      <c r="F25" s="73">
        <f t="shared" si="1"/>
        <v>0</v>
      </c>
    </row>
    <row r="26" spans="2:6">
      <c r="B26" s="72" t="s">
        <v>161</v>
      </c>
      <c r="C26" s="73">
        <f>+SUBVENCION!AB18</f>
        <v>46449602</v>
      </c>
      <c r="D26" s="73">
        <f>+SUBVENCION!AC18</f>
        <v>3103816</v>
      </c>
      <c r="E26" s="74">
        <f t="shared" si="0"/>
        <v>2.2921923626093632E-2</v>
      </c>
      <c r="F26" s="73">
        <f t="shared" si="1"/>
        <v>4955341.8</v>
      </c>
    </row>
    <row r="27" spans="2:6">
      <c r="B27" s="72" t="s">
        <v>162</v>
      </c>
      <c r="C27" s="73">
        <f>+SUBVENCION!AB19</f>
        <v>7465756</v>
      </c>
      <c r="D27" s="73">
        <f>+SUBVENCION!AC19</f>
        <v>401416</v>
      </c>
      <c r="E27" s="74">
        <f t="shared" si="0"/>
        <v>3.6391176030953561E-3</v>
      </c>
      <c r="F27" s="73">
        <f t="shared" si="1"/>
        <v>786717.20000000007</v>
      </c>
    </row>
    <row r="28" spans="2:6">
      <c r="B28" s="72" t="s">
        <v>163</v>
      </c>
      <c r="C28" s="73">
        <f>+SUBVENCION!AB20</f>
        <v>9535389</v>
      </c>
      <c r="D28" s="73">
        <f>+SUBVENCION!AC20</f>
        <v>1213566</v>
      </c>
      <c r="E28" s="74">
        <f t="shared" si="0"/>
        <v>4.9721439108462153E-3</v>
      </c>
      <c r="F28" s="73">
        <f t="shared" si="1"/>
        <v>1074895.5</v>
      </c>
    </row>
    <row r="29" spans="2:6">
      <c r="B29" s="72" t="s">
        <v>164</v>
      </c>
      <c r="C29" s="73">
        <f>+SUBVENCION!AB21</f>
        <v>4602338</v>
      </c>
      <c r="D29" s="73">
        <f>+SUBVENCION!AC21</f>
        <v>0</v>
      </c>
      <c r="E29" s="74">
        <f t="shared" si="0"/>
        <v>2.1289034015265812E-3</v>
      </c>
      <c r="F29" s="73">
        <f t="shared" si="1"/>
        <v>460233.80000000005</v>
      </c>
    </row>
    <row r="30" spans="2:6">
      <c r="B30" s="72" t="s">
        <v>165</v>
      </c>
      <c r="C30" s="73">
        <f>+SUBVENCION!AB22</f>
        <v>9073794</v>
      </c>
      <c r="D30" s="73">
        <f>+SUBVENCION!AC22</f>
        <v>804070</v>
      </c>
      <c r="E30" s="74">
        <f t="shared" si="0"/>
        <v>4.5692033634680811E-3</v>
      </c>
      <c r="F30" s="73">
        <f t="shared" si="1"/>
        <v>987786.4</v>
      </c>
    </row>
    <row r="31" spans="2:6">
      <c r="B31" s="72" t="s">
        <v>166</v>
      </c>
      <c r="C31" s="73">
        <f>+SUBVENCION!AB24</f>
        <v>3961553</v>
      </c>
      <c r="D31" s="73">
        <f>+SUBVENCION!AC24</f>
        <v>0</v>
      </c>
      <c r="E31" s="74">
        <f t="shared" si="0"/>
        <v>1.8324954962081949E-3</v>
      </c>
      <c r="F31" s="73">
        <f t="shared" si="1"/>
        <v>396155.30000000005</v>
      </c>
    </row>
    <row r="32" spans="2:6">
      <c r="B32" s="75" t="s">
        <v>167</v>
      </c>
      <c r="C32" s="77">
        <v>0</v>
      </c>
      <c r="D32" s="77">
        <v>0</v>
      </c>
      <c r="E32" s="78">
        <f t="shared" si="0"/>
        <v>0</v>
      </c>
      <c r="F32" s="77">
        <f t="shared" si="1"/>
        <v>0</v>
      </c>
    </row>
    <row r="33" spans="3:6">
      <c r="C33" s="66">
        <f t="shared" ref="C33" si="2">SUM(C8:C32)</f>
        <v>2012311008</v>
      </c>
      <c r="D33" s="66">
        <f>SUM(D8:D32)</f>
        <v>149524046</v>
      </c>
      <c r="E33" s="76">
        <f>SUM(E8:E32)</f>
        <v>1</v>
      </c>
      <c r="F33" s="66">
        <f>SUM(F8:F32)</f>
        <v>216183505.40000001</v>
      </c>
    </row>
  </sheetData>
  <mergeCells count="1">
    <mergeCell ref="C6:D6"/>
  </mergeCells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S27"/>
  <sheetViews>
    <sheetView workbookViewId="0">
      <selection activeCell="H10" sqref="H10"/>
    </sheetView>
  </sheetViews>
  <sheetFormatPr baseColWidth="10" defaultRowHeight="15"/>
  <cols>
    <col min="1" max="1" width="29.140625" bestFit="1" customWidth="1"/>
    <col min="2" max="2" width="6" bestFit="1" customWidth="1"/>
    <col min="3" max="3" width="13.5703125" customWidth="1"/>
    <col min="4" max="4" width="12.85546875" customWidth="1"/>
    <col min="5" max="5" width="19" customWidth="1"/>
    <col min="6" max="6" width="12" customWidth="1"/>
    <col min="7" max="7" width="18.5703125" customWidth="1"/>
    <col min="8" max="8" width="12.7109375" customWidth="1"/>
    <col min="9" max="9" width="20.7109375" customWidth="1"/>
    <col min="10" max="10" width="3" customWidth="1"/>
    <col min="11" max="11" width="2.5703125" customWidth="1"/>
    <col min="12" max="12" width="46" customWidth="1"/>
    <col min="13" max="13" width="43.140625" customWidth="1"/>
    <col min="14" max="14" width="17.42578125" bestFit="1" customWidth="1"/>
    <col min="15" max="15" width="11" bestFit="1" customWidth="1"/>
    <col min="16" max="16" width="16.140625" customWidth="1"/>
    <col min="19" max="19" width="13.5703125" bestFit="1" customWidth="1"/>
  </cols>
  <sheetData>
    <row r="1" spans="1:19">
      <c r="A1" s="394" t="s">
        <v>179</v>
      </c>
      <c r="B1" s="394"/>
      <c r="C1" s="394"/>
      <c r="D1" s="394"/>
      <c r="E1" s="394"/>
      <c r="F1" s="394"/>
      <c r="G1" s="394"/>
      <c r="H1" s="394"/>
      <c r="I1" s="394"/>
      <c r="J1" s="137"/>
      <c r="K1" s="404" t="s">
        <v>184</v>
      </c>
      <c r="L1" s="405"/>
      <c r="M1" s="405"/>
      <c r="N1" s="405"/>
      <c r="O1" s="405"/>
      <c r="P1" s="406"/>
    </row>
    <row r="2" spans="1:19">
      <c r="K2" s="407"/>
      <c r="L2" s="408"/>
      <c r="M2" s="408"/>
      <c r="N2" s="408"/>
      <c r="O2" s="408"/>
      <c r="P2" s="409"/>
    </row>
    <row r="3" spans="1:19">
      <c r="A3" s="396" t="s">
        <v>17</v>
      </c>
      <c r="B3" s="396" t="s">
        <v>18</v>
      </c>
      <c r="C3" s="395" t="s">
        <v>171</v>
      </c>
      <c r="D3" s="395"/>
      <c r="E3" s="401" t="s">
        <v>178</v>
      </c>
      <c r="F3" s="400" t="s">
        <v>176</v>
      </c>
      <c r="G3" s="400" t="s">
        <v>177</v>
      </c>
      <c r="H3" s="400" t="s">
        <v>6</v>
      </c>
      <c r="I3" s="398" t="s">
        <v>180</v>
      </c>
      <c r="J3" s="138"/>
      <c r="K3" s="403" t="s">
        <v>185</v>
      </c>
      <c r="L3" s="403" t="s">
        <v>181</v>
      </c>
      <c r="M3" s="403" t="s">
        <v>182</v>
      </c>
      <c r="N3" s="403" t="s">
        <v>183</v>
      </c>
      <c r="O3" s="410">
        <v>0.1</v>
      </c>
      <c r="P3" s="403" t="s">
        <v>7</v>
      </c>
    </row>
    <row r="4" spans="1:19">
      <c r="A4" s="396"/>
      <c r="B4" s="397"/>
      <c r="C4" s="132" t="s">
        <v>175</v>
      </c>
      <c r="D4" s="132" t="s">
        <v>140</v>
      </c>
      <c r="E4" s="402"/>
      <c r="F4" s="400"/>
      <c r="G4" s="400"/>
      <c r="H4" s="400"/>
      <c r="I4" s="399"/>
      <c r="J4" s="138"/>
      <c r="K4" s="403"/>
      <c r="L4" s="403"/>
      <c r="M4" s="403"/>
      <c r="N4" s="403"/>
      <c r="O4" s="403"/>
      <c r="P4" s="403"/>
      <c r="R4" t="s">
        <v>11</v>
      </c>
      <c r="S4" t="s">
        <v>186</v>
      </c>
    </row>
    <row r="5" spans="1:19">
      <c r="A5" s="2" t="s">
        <v>19</v>
      </c>
      <c r="B5" s="130" t="s">
        <v>20</v>
      </c>
      <c r="C5" s="131"/>
      <c r="D5" s="131"/>
      <c r="E5" s="131">
        <f>+C5+D5</f>
        <v>0</v>
      </c>
      <c r="F5" s="131">
        <f>+E5*10%</f>
        <v>0</v>
      </c>
      <c r="G5" s="133">
        <f>+E5-F5</f>
        <v>0</v>
      </c>
      <c r="H5" s="3">
        <f>+'E-403'!I145</f>
        <v>286620428</v>
      </c>
      <c r="I5" s="3">
        <f>+G5-H5</f>
        <v>-286620428</v>
      </c>
      <c r="J5" s="139"/>
      <c r="K5" s="131">
        <f>+'E-403'!J9</f>
        <v>-2782179.700000003</v>
      </c>
      <c r="L5" s="131">
        <f>(E5/10)*12</f>
        <v>0</v>
      </c>
      <c r="M5" s="131">
        <f>+H5</f>
        <v>286620428</v>
      </c>
      <c r="N5" s="131">
        <f>+'E-403'!I107*2</f>
        <v>0</v>
      </c>
      <c r="O5" s="131">
        <f>+L5*10%</f>
        <v>0</v>
      </c>
      <c r="P5" s="141">
        <f>+L5-M5-N5-O5</f>
        <v>-286620428</v>
      </c>
      <c r="R5" t="s">
        <v>190</v>
      </c>
      <c r="S5" s="142">
        <f>179700+180600+440300</f>
        <v>800600</v>
      </c>
    </row>
    <row r="6" spans="1:19">
      <c r="A6" s="2" t="s">
        <v>21</v>
      </c>
      <c r="B6" s="130" t="s">
        <v>22</v>
      </c>
      <c r="C6" s="131"/>
      <c r="D6" s="131"/>
      <c r="E6" s="131">
        <f t="shared" ref="E6:E26" si="0">+C6+D6</f>
        <v>0</v>
      </c>
      <c r="F6" s="131">
        <f t="shared" ref="F6:F26" si="1">+E6*10%</f>
        <v>0</v>
      </c>
      <c r="G6" s="133">
        <f t="shared" ref="G6:G26" si="2">+E6-F6</f>
        <v>0</v>
      </c>
      <c r="H6" s="30">
        <f>+'E-414'!I177</f>
        <v>230633759</v>
      </c>
      <c r="I6" s="3">
        <f t="shared" ref="I6:I26" si="3">+G6-H6</f>
        <v>-230633759</v>
      </c>
      <c r="J6" s="139"/>
      <c r="K6" s="131">
        <f>+'E-414'!J9</f>
        <v>30224473</v>
      </c>
      <c r="L6" s="131">
        <f t="shared" ref="L6:L26" si="4">(E6/10)*12</f>
        <v>0</v>
      </c>
      <c r="M6" s="131">
        <f t="shared" ref="M6:M26" si="5">+H6</f>
        <v>230633759</v>
      </c>
      <c r="N6" s="131">
        <f>+'E-414'!I140*2</f>
        <v>0</v>
      </c>
      <c r="O6" s="131">
        <f t="shared" ref="O6:O26" si="6">+L6*10%</f>
        <v>0</v>
      </c>
      <c r="P6" s="141">
        <f>+L6-M6-N6-O6</f>
        <v>-230633759</v>
      </c>
      <c r="S6" s="142"/>
    </row>
    <row r="7" spans="1:19">
      <c r="A7" s="2" t="s">
        <v>23</v>
      </c>
      <c r="B7" s="130" t="s">
        <v>24</v>
      </c>
      <c r="C7" s="131"/>
      <c r="D7" s="131"/>
      <c r="E7" s="131">
        <f t="shared" si="0"/>
        <v>0</v>
      </c>
      <c r="F7" s="131">
        <f t="shared" si="1"/>
        <v>0</v>
      </c>
      <c r="G7" s="133">
        <f t="shared" si="2"/>
        <v>0</v>
      </c>
      <c r="H7" s="3">
        <f>+'E-417'!I135</f>
        <v>113258861</v>
      </c>
      <c r="I7" s="3">
        <f t="shared" si="3"/>
        <v>-113258861</v>
      </c>
      <c r="J7" s="139"/>
      <c r="K7" s="131">
        <f>+'E-417'!J9</f>
        <v>5843683</v>
      </c>
      <c r="L7" s="131">
        <f t="shared" si="4"/>
        <v>0</v>
      </c>
      <c r="M7" s="131">
        <f t="shared" si="5"/>
        <v>113258861</v>
      </c>
      <c r="N7" s="131">
        <f>+'E-417'!I116*2</f>
        <v>0</v>
      </c>
      <c r="O7" s="131">
        <f t="shared" si="6"/>
        <v>0</v>
      </c>
      <c r="P7" s="131">
        <f>+K7+L7-M7-N7-O7</f>
        <v>-107415178</v>
      </c>
      <c r="R7" t="s">
        <v>195</v>
      </c>
      <c r="S7" s="142">
        <f>3750000+174930+174450+1335656+475000+3128157+663544+5850000+608530+162435+142800+2862700</f>
        <v>19328202</v>
      </c>
    </row>
    <row r="8" spans="1:19">
      <c r="A8" s="2" t="s">
        <v>25</v>
      </c>
      <c r="B8" s="130" t="s">
        <v>26</v>
      </c>
      <c r="C8" s="131"/>
      <c r="D8" s="131"/>
      <c r="E8" s="131">
        <f t="shared" si="0"/>
        <v>0</v>
      </c>
      <c r="F8" s="131">
        <f t="shared" si="1"/>
        <v>0</v>
      </c>
      <c r="G8" s="133">
        <f t="shared" si="2"/>
        <v>0</v>
      </c>
      <c r="H8" s="3">
        <f>+'E-424'!I192</f>
        <v>277575703</v>
      </c>
      <c r="I8" s="3">
        <f t="shared" si="3"/>
        <v>-277575703</v>
      </c>
      <c r="J8" s="139"/>
      <c r="K8" s="131">
        <f>+'E-424'!J9</f>
        <v>-2405121</v>
      </c>
      <c r="L8" s="131">
        <f t="shared" si="4"/>
        <v>0</v>
      </c>
      <c r="M8" s="131">
        <f t="shared" si="5"/>
        <v>277575703</v>
      </c>
      <c r="N8" s="131">
        <f>+'E-424'!I137*2</f>
        <v>0</v>
      </c>
      <c r="O8" s="131">
        <f t="shared" si="6"/>
        <v>0</v>
      </c>
      <c r="P8" s="131">
        <f>+K8+L8-M8-N8-O8</f>
        <v>-279980824</v>
      </c>
      <c r="R8" t="s">
        <v>194</v>
      </c>
      <c r="S8" s="142">
        <f>175000+583570+174125+176300+180057+172600+174000+175000+600000+440000+499800+157500+23970+23970+175981+178000+158000+169000</f>
        <v>4236873</v>
      </c>
    </row>
    <row r="9" spans="1:19">
      <c r="A9" s="2" t="s">
        <v>27</v>
      </c>
      <c r="B9" s="130" t="s">
        <v>28</v>
      </c>
      <c r="C9" s="131"/>
      <c r="D9" s="131"/>
      <c r="E9" s="131">
        <f t="shared" si="0"/>
        <v>0</v>
      </c>
      <c r="F9" s="131">
        <f t="shared" si="1"/>
        <v>0</v>
      </c>
      <c r="G9" s="133">
        <f t="shared" si="2"/>
        <v>0</v>
      </c>
      <c r="H9" s="3">
        <f>+'F-375'!I100</f>
        <v>47351449</v>
      </c>
      <c r="I9" s="3">
        <f t="shared" si="3"/>
        <v>-47351449</v>
      </c>
      <c r="J9" s="139"/>
      <c r="K9" s="131">
        <f>+'F-375'!J9</f>
        <v>17978.79999999702</v>
      </c>
      <c r="L9" s="131">
        <f t="shared" si="4"/>
        <v>0</v>
      </c>
      <c r="M9" s="131">
        <f t="shared" si="5"/>
        <v>47351449</v>
      </c>
      <c r="N9" s="131">
        <f>+'F-375'!I82*2</f>
        <v>0</v>
      </c>
      <c r="O9" s="131">
        <f t="shared" si="6"/>
        <v>0</v>
      </c>
      <c r="P9" s="131">
        <f>+K9+L9-M9-N9-O9</f>
        <v>-47333470.200000003</v>
      </c>
      <c r="R9" t="s">
        <v>193</v>
      </c>
      <c r="S9" s="142">
        <f>558177+572271+178600+1430000+176400</f>
        <v>2915448</v>
      </c>
    </row>
    <row r="10" spans="1:19">
      <c r="A10" s="2" t="s">
        <v>29</v>
      </c>
      <c r="B10" s="130" t="s">
        <v>30</v>
      </c>
      <c r="C10" s="131"/>
      <c r="D10" s="131"/>
      <c r="E10" s="131">
        <f t="shared" si="0"/>
        <v>0</v>
      </c>
      <c r="F10" s="131">
        <f t="shared" si="1"/>
        <v>0</v>
      </c>
      <c r="G10" s="133">
        <f t="shared" si="2"/>
        <v>0</v>
      </c>
      <c r="H10" s="3">
        <f>+'F-405'!I145</f>
        <v>95204050</v>
      </c>
      <c r="I10" s="3">
        <f t="shared" si="3"/>
        <v>-95204050</v>
      </c>
      <c r="J10" s="139"/>
      <c r="K10" s="131">
        <f>+'F-405'!J9</f>
        <v>1076784.1999999881</v>
      </c>
      <c r="L10" s="131">
        <f t="shared" si="4"/>
        <v>0</v>
      </c>
      <c r="M10" s="131">
        <f t="shared" si="5"/>
        <v>95204050</v>
      </c>
      <c r="N10" s="131">
        <f>+'F-405'!I119*2</f>
        <v>0</v>
      </c>
      <c r="O10" s="131">
        <f t="shared" si="6"/>
        <v>0</v>
      </c>
      <c r="P10" s="131">
        <f>+K10+L10-M10-N10-O10</f>
        <v>-94127265.800000012</v>
      </c>
      <c r="R10">
        <v>97</v>
      </c>
      <c r="S10" s="142">
        <v>5650000</v>
      </c>
    </row>
    <row r="11" spans="1:19">
      <c r="A11" s="2" t="s">
        <v>31</v>
      </c>
      <c r="B11" s="130" t="s">
        <v>32</v>
      </c>
      <c r="C11" s="131"/>
      <c r="D11" s="131"/>
      <c r="E11" s="131">
        <f t="shared" si="0"/>
        <v>0</v>
      </c>
      <c r="F11" s="131">
        <f t="shared" si="1"/>
        <v>0</v>
      </c>
      <c r="G11" s="133">
        <f t="shared" si="2"/>
        <v>0</v>
      </c>
      <c r="H11" s="3">
        <f>+'F-407'!I114</f>
        <v>53162987</v>
      </c>
      <c r="I11" s="3">
        <f t="shared" si="3"/>
        <v>-53162987</v>
      </c>
      <c r="J11" s="139"/>
      <c r="K11" s="131">
        <f>+'F-407'!J9</f>
        <v>2559585</v>
      </c>
      <c r="L11" s="131">
        <f t="shared" si="4"/>
        <v>0</v>
      </c>
      <c r="M11" s="131">
        <f t="shared" si="5"/>
        <v>53162987</v>
      </c>
      <c r="N11" s="131">
        <f>+'F-407'!I82*2</f>
        <v>0</v>
      </c>
      <c r="O11" s="131">
        <f t="shared" si="6"/>
        <v>0</v>
      </c>
      <c r="P11" s="141">
        <f>+L11-M11-N11-O11</f>
        <v>-53162987</v>
      </c>
      <c r="S11" s="142"/>
    </row>
    <row r="12" spans="1:19">
      <c r="A12" s="2" t="s">
        <v>33</v>
      </c>
      <c r="B12" s="130" t="s">
        <v>34</v>
      </c>
      <c r="C12" s="131"/>
      <c r="D12" s="131"/>
      <c r="E12" s="131">
        <f t="shared" si="0"/>
        <v>0</v>
      </c>
      <c r="F12" s="131">
        <f t="shared" si="1"/>
        <v>0</v>
      </c>
      <c r="G12" s="133">
        <f t="shared" si="2"/>
        <v>0</v>
      </c>
      <c r="H12" s="30">
        <f>+'F-413'!I113</f>
        <v>93889385</v>
      </c>
      <c r="I12" s="3">
        <f t="shared" si="3"/>
        <v>-93889385</v>
      </c>
      <c r="J12" s="139"/>
      <c r="K12" s="131">
        <f>+'F-413'!J9</f>
        <v>1010389.5</v>
      </c>
      <c r="L12" s="131">
        <f t="shared" si="4"/>
        <v>0</v>
      </c>
      <c r="M12" s="131">
        <f t="shared" si="5"/>
        <v>93889385</v>
      </c>
      <c r="N12" s="131">
        <f>+'F-407'!I88*2</f>
        <v>0</v>
      </c>
      <c r="O12" s="131">
        <f t="shared" si="6"/>
        <v>0</v>
      </c>
      <c r="P12" s="131">
        <f>+L12-M12-N12-O12</f>
        <v>-93889385</v>
      </c>
      <c r="R12" t="s">
        <v>188</v>
      </c>
      <c r="S12" s="142">
        <f>180000+180930+176011+174799+175525+179630</f>
        <v>1066895</v>
      </c>
    </row>
    <row r="13" spans="1:19">
      <c r="A13" s="2" t="s">
        <v>35</v>
      </c>
      <c r="B13" s="130" t="s">
        <v>36</v>
      </c>
      <c r="C13" s="131"/>
      <c r="D13" s="131"/>
      <c r="E13" s="131">
        <f t="shared" si="0"/>
        <v>0</v>
      </c>
      <c r="F13" s="131">
        <f t="shared" si="1"/>
        <v>0</v>
      </c>
      <c r="G13" s="133">
        <f t="shared" si="2"/>
        <v>0</v>
      </c>
      <c r="H13" s="3">
        <f>+'F-425'!I123</f>
        <v>61940284</v>
      </c>
      <c r="I13" s="3">
        <f t="shared" si="3"/>
        <v>-61940284</v>
      </c>
      <c r="J13" s="139"/>
      <c r="K13" s="131">
        <f>+'F-425'!J9</f>
        <v>5317986</v>
      </c>
      <c r="L13" s="131">
        <f t="shared" si="4"/>
        <v>0</v>
      </c>
      <c r="M13" s="131">
        <f t="shared" si="5"/>
        <v>61940284</v>
      </c>
      <c r="N13" s="131">
        <f>+'F-425'!I79*2</f>
        <v>0</v>
      </c>
      <c r="O13" s="131">
        <f t="shared" si="6"/>
        <v>0</v>
      </c>
      <c r="P13" s="131">
        <f>+K13+L13-M13-N13-O13</f>
        <v>-56622298</v>
      </c>
      <c r="R13" t="s">
        <v>197</v>
      </c>
      <c r="S13" s="142">
        <f>180590+276000</f>
        <v>456590</v>
      </c>
    </row>
    <row r="14" spans="1:19">
      <c r="A14" s="2" t="s">
        <v>37</v>
      </c>
      <c r="B14" s="130" t="s">
        <v>38</v>
      </c>
      <c r="C14" s="131"/>
      <c r="D14" s="131"/>
      <c r="E14" s="131">
        <f t="shared" si="0"/>
        <v>0</v>
      </c>
      <c r="F14" s="131">
        <f t="shared" si="1"/>
        <v>0</v>
      </c>
      <c r="G14" s="133">
        <f t="shared" si="2"/>
        <v>0</v>
      </c>
      <c r="H14" s="3">
        <f>+'F-426'!I93</f>
        <v>94647782</v>
      </c>
      <c r="I14" s="3">
        <f t="shared" si="3"/>
        <v>-94647782</v>
      </c>
      <c r="J14" s="139"/>
      <c r="K14" s="131">
        <f>+'F-426'!J9</f>
        <v>-830673</v>
      </c>
      <c r="L14" s="131">
        <f t="shared" si="4"/>
        <v>0</v>
      </c>
      <c r="M14" s="131">
        <f t="shared" si="5"/>
        <v>94647782</v>
      </c>
      <c r="N14" s="131">
        <f>+'F-425'!I80*2</f>
        <v>0</v>
      </c>
      <c r="O14" s="131">
        <f t="shared" si="6"/>
        <v>0</v>
      </c>
      <c r="P14" s="131">
        <f>+K14+L14-M14-N14-O14</f>
        <v>-95478455</v>
      </c>
      <c r="R14" t="s">
        <v>191</v>
      </c>
      <c r="S14" s="142">
        <f>179928+170007+173600+170000+106148+168375+172000+179703+150000+540369</f>
        <v>2010130</v>
      </c>
    </row>
    <row r="15" spans="1:19">
      <c r="A15" s="2" t="s">
        <v>39</v>
      </c>
      <c r="B15" s="130" t="s">
        <v>40</v>
      </c>
      <c r="C15" s="131"/>
      <c r="D15" s="131"/>
      <c r="E15" s="131">
        <f t="shared" si="0"/>
        <v>0</v>
      </c>
      <c r="F15" s="131">
        <f t="shared" si="1"/>
        <v>0</v>
      </c>
      <c r="G15" s="133">
        <f t="shared" si="2"/>
        <v>0</v>
      </c>
      <c r="H15" s="3">
        <f>+'F-428'!I100</f>
        <v>84212886</v>
      </c>
      <c r="I15" s="3">
        <f t="shared" si="3"/>
        <v>-84212886</v>
      </c>
      <c r="J15" s="139"/>
      <c r="K15" s="131">
        <f>+'F-428'!J9</f>
        <v>-7438804.900000006</v>
      </c>
      <c r="L15" s="131">
        <f t="shared" si="4"/>
        <v>0</v>
      </c>
      <c r="M15" s="131">
        <f t="shared" si="5"/>
        <v>84212886</v>
      </c>
      <c r="N15" s="131" t="e">
        <f>+'F-428'!#REF!*2</f>
        <v>#REF!</v>
      </c>
      <c r="O15" s="131">
        <f t="shared" si="6"/>
        <v>0</v>
      </c>
      <c r="P15" s="141" t="e">
        <f>+L15-M15-N15-O15</f>
        <v>#REF!</v>
      </c>
      <c r="R15">
        <v>113</v>
      </c>
      <c r="S15" s="142">
        <v>480000</v>
      </c>
    </row>
    <row r="16" spans="1:19">
      <c r="A16" s="2" t="s">
        <v>41</v>
      </c>
      <c r="B16" s="130" t="s">
        <v>42</v>
      </c>
      <c r="C16" s="131"/>
      <c r="D16" s="131"/>
      <c r="E16" s="131">
        <f t="shared" si="0"/>
        <v>0</v>
      </c>
      <c r="F16" s="131">
        <f t="shared" si="1"/>
        <v>0</v>
      </c>
      <c r="G16" s="133">
        <f t="shared" si="2"/>
        <v>0</v>
      </c>
      <c r="H16" s="3">
        <f>+'G-389'!I95</f>
        <v>6913992</v>
      </c>
      <c r="I16" s="3">
        <f t="shared" si="3"/>
        <v>-6913992</v>
      </c>
      <c r="J16" s="139"/>
      <c r="K16" s="131">
        <f>+'G-389'!J9</f>
        <v>-60562.800000000745</v>
      </c>
      <c r="L16" s="131">
        <f t="shared" si="4"/>
        <v>0</v>
      </c>
      <c r="M16" s="131">
        <f t="shared" si="5"/>
        <v>6913992</v>
      </c>
      <c r="N16" s="131">
        <f>+'G-389'!I76*2</f>
        <v>0</v>
      </c>
      <c r="O16" s="131">
        <f t="shared" si="6"/>
        <v>0</v>
      </c>
      <c r="P16" s="131">
        <f>+K16+L16-M16-N16-O16</f>
        <v>-6974554.8000000007</v>
      </c>
      <c r="S16" s="142"/>
    </row>
    <row r="17" spans="1:19">
      <c r="A17" s="2" t="s">
        <v>43</v>
      </c>
      <c r="B17" s="130" t="s">
        <v>44</v>
      </c>
      <c r="C17" s="131"/>
      <c r="D17" s="131"/>
      <c r="E17" s="131">
        <f t="shared" si="0"/>
        <v>0</v>
      </c>
      <c r="F17" s="131">
        <f t="shared" si="1"/>
        <v>0</v>
      </c>
      <c r="G17" s="133">
        <f t="shared" si="2"/>
        <v>0</v>
      </c>
      <c r="H17" s="3">
        <f>+'G-394'!I104</f>
        <v>5847001</v>
      </c>
      <c r="I17" s="3">
        <f t="shared" si="3"/>
        <v>-5847001</v>
      </c>
      <c r="J17" s="139"/>
      <c r="K17" s="131">
        <f>+'G-394'!J9</f>
        <v>-365551.5</v>
      </c>
      <c r="L17" s="131">
        <f t="shared" si="4"/>
        <v>0</v>
      </c>
      <c r="M17" s="131">
        <f t="shared" si="5"/>
        <v>5847001</v>
      </c>
      <c r="N17" s="131">
        <f>+'G-394'!I78*2</f>
        <v>0</v>
      </c>
      <c r="O17" s="131">
        <f t="shared" si="6"/>
        <v>0</v>
      </c>
      <c r="P17" s="131">
        <f>+K17+L17-M17-N17-O17</f>
        <v>-6212552.5</v>
      </c>
      <c r="R17" t="s">
        <v>189</v>
      </c>
      <c r="S17" s="142">
        <f>243950+160000</f>
        <v>403950</v>
      </c>
    </row>
    <row r="18" spans="1:19">
      <c r="A18" s="2" t="s">
        <v>45</v>
      </c>
      <c r="B18" s="130" t="s">
        <v>46</v>
      </c>
      <c r="C18" s="131"/>
      <c r="D18" s="131"/>
      <c r="E18" s="131">
        <f t="shared" si="0"/>
        <v>0</v>
      </c>
      <c r="F18" s="131">
        <f t="shared" si="1"/>
        <v>0</v>
      </c>
      <c r="G18" s="133">
        <f t="shared" si="2"/>
        <v>0</v>
      </c>
      <c r="H18" s="3">
        <f>+'G-412'!I110</f>
        <v>28566623</v>
      </c>
      <c r="I18" s="3">
        <f t="shared" si="3"/>
        <v>-28566623</v>
      </c>
      <c r="J18" s="139"/>
      <c r="K18" s="131">
        <f>+'G-412'!J9</f>
        <v>516412.60000000149</v>
      </c>
      <c r="L18" s="131">
        <f t="shared" si="4"/>
        <v>0</v>
      </c>
      <c r="M18" s="131">
        <f t="shared" si="5"/>
        <v>28566623</v>
      </c>
      <c r="N18" s="131">
        <f>+'G-412'!I76*2</f>
        <v>0</v>
      </c>
      <c r="O18" s="131">
        <f t="shared" si="6"/>
        <v>0</v>
      </c>
      <c r="P18" s="141">
        <f>+L18-M18-N18-O18</f>
        <v>-28566623</v>
      </c>
      <c r="S18" s="142"/>
    </row>
    <row r="19" spans="1:19">
      <c r="A19" s="2" t="s">
        <v>47</v>
      </c>
      <c r="B19" s="130" t="s">
        <v>48</v>
      </c>
      <c r="C19" s="131"/>
      <c r="D19" s="131"/>
      <c r="E19" s="131">
        <f t="shared" si="0"/>
        <v>0</v>
      </c>
      <c r="F19" s="131">
        <f t="shared" si="1"/>
        <v>0</v>
      </c>
      <c r="G19" s="133">
        <f t="shared" si="2"/>
        <v>0</v>
      </c>
      <c r="H19" s="3">
        <f>+'G-416'!I105</f>
        <v>56335491</v>
      </c>
      <c r="I19" s="3">
        <f t="shared" si="3"/>
        <v>-56335491</v>
      </c>
      <c r="J19" s="139"/>
      <c r="K19" s="131">
        <f>+'G-416'!J9</f>
        <v>5512238</v>
      </c>
      <c r="L19" s="131">
        <f t="shared" si="4"/>
        <v>0</v>
      </c>
      <c r="M19" s="131">
        <f t="shared" si="5"/>
        <v>56335491</v>
      </c>
      <c r="N19" s="131">
        <f>+'G-416'!I84*2</f>
        <v>0</v>
      </c>
      <c r="O19" s="131">
        <f t="shared" si="6"/>
        <v>0</v>
      </c>
      <c r="P19" s="131">
        <f>+K19+L19-M19-N19-O19</f>
        <v>-50823253</v>
      </c>
      <c r="R19" t="s">
        <v>192</v>
      </c>
      <c r="S19" s="142">
        <f>179900+505750+761600+179510+177400+180000+132000</f>
        <v>2116160</v>
      </c>
    </row>
    <row r="20" spans="1:19">
      <c r="A20" s="2" t="s">
        <v>49</v>
      </c>
      <c r="B20" s="130" t="s">
        <v>50</v>
      </c>
      <c r="C20" s="131"/>
      <c r="D20" s="131"/>
      <c r="E20" s="131">
        <f t="shared" si="0"/>
        <v>0</v>
      </c>
      <c r="F20" s="131">
        <f t="shared" si="1"/>
        <v>0</v>
      </c>
      <c r="G20" s="133">
        <f t="shared" si="2"/>
        <v>0</v>
      </c>
      <c r="H20" s="3">
        <f>+'G-418'!I88</f>
        <v>5914055</v>
      </c>
      <c r="I20" s="3">
        <f t="shared" si="3"/>
        <v>-5914055</v>
      </c>
      <c r="J20" s="139"/>
      <c r="K20" s="131">
        <f>+'G-418'!J9</f>
        <v>-177954</v>
      </c>
      <c r="L20" s="131">
        <f t="shared" si="4"/>
        <v>0</v>
      </c>
      <c r="M20" s="131">
        <f t="shared" si="5"/>
        <v>5914055</v>
      </c>
      <c r="N20" s="131">
        <v>0</v>
      </c>
      <c r="O20" s="131">
        <f t="shared" si="6"/>
        <v>0</v>
      </c>
      <c r="P20" s="131">
        <f>+K20+L20-M20-O20</f>
        <v>-6092009</v>
      </c>
      <c r="R20">
        <v>47</v>
      </c>
      <c r="S20" s="142">
        <v>530000</v>
      </c>
    </row>
    <row r="21" spans="1:19">
      <c r="A21" s="2" t="s">
        <v>51</v>
      </c>
      <c r="B21" s="130" t="s">
        <v>52</v>
      </c>
      <c r="C21" s="131"/>
      <c r="D21" s="131"/>
      <c r="E21" s="131">
        <f t="shared" si="0"/>
        <v>0</v>
      </c>
      <c r="F21" s="131">
        <f t="shared" si="1"/>
        <v>0</v>
      </c>
      <c r="G21" s="133">
        <f t="shared" si="2"/>
        <v>0</v>
      </c>
      <c r="H21" s="3">
        <f>+'G-419'!I103</f>
        <v>6193918</v>
      </c>
      <c r="I21" s="3">
        <f t="shared" si="3"/>
        <v>-6193918</v>
      </c>
      <c r="J21" s="139"/>
      <c r="K21" s="131">
        <f>+'G-419'!J7</f>
        <v>5298959</v>
      </c>
      <c r="L21" s="131">
        <f t="shared" si="4"/>
        <v>0</v>
      </c>
      <c r="M21" s="131">
        <f t="shared" si="5"/>
        <v>6193918</v>
      </c>
      <c r="N21" s="131">
        <f>+'G-419'!I72*2</f>
        <v>0</v>
      </c>
      <c r="O21" s="131">
        <f t="shared" si="6"/>
        <v>0</v>
      </c>
      <c r="P21" s="141">
        <f>+L21-M21-N21-O21</f>
        <v>-6193918</v>
      </c>
      <c r="S21" s="142"/>
    </row>
    <row r="22" spans="1:19">
      <c r="A22" s="2" t="s">
        <v>53</v>
      </c>
      <c r="B22" s="130" t="s">
        <v>54</v>
      </c>
      <c r="C22" s="131"/>
      <c r="D22" s="131"/>
      <c r="E22" s="131">
        <f t="shared" si="0"/>
        <v>0</v>
      </c>
      <c r="F22" s="131">
        <f t="shared" si="1"/>
        <v>0</v>
      </c>
      <c r="G22" s="133">
        <f t="shared" si="2"/>
        <v>0</v>
      </c>
      <c r="H22" s="3">
        <f>+'G-429'!I77</f>
        <v>1807748</v>
      </c>
      <c r="I22" s="3">
        <f t="shared" si="3"/>
        <v>-1807748</v>
      </c>
      <c r="J22" s="139"/>
      <c r="K22" s="131">
        <f>+'G-429'!J9</f>
        <v>-1069156</v>
      </c>
      <c r="L22" s="131">
        <f t="shared" si="4"/>
        <v>0</v>
      </c>
      <c r="M22" s="131">
        <f t="shared" si="5"/>
        <v>1807748</v>
      </c>
      <c r="N22" s="131">
        <v>0</v>
      </c>
      <c r="O22" s="131">
        <f t="shared" si="6"/>
        <v>0</v>
      </c>
      <c r="P22" s="131">
        <f>+L22-M22-O22</f>
        <v>-1807748</v>
      </c>
      <c r="S22" s="142"/>
    </row>
    <row r="23" spans="1:19">
      <c r="A23" s="2" t="s">
        <v>55</v>
      </c>
      <c r="B23" s="130" t="s">
        <v>56</v>
      </c>
      <c r="C23" s="131"/>
      <c r="D23" s="131"/>
      <c r="E23" s="131">
        <f t="shared" si="0"/>
        <v>0</v>
      </c>
      <c r="F23" s="131">
        <f t="shared" si="1"/>
        <v>0</v>
      </c>
      <c r="G23" s="133">
        <f t="shared" si="2"/>
        <v>0</v>
      </c>
      <c r="H23" s="3">
        <f>+'G-433'!I111</f>
        <v>4433478</v>
      </c>
      <c r="I23" s="3">
        <f t="shared" si="3"/>
        <v>-4433478</v>
      </c>
      <c r="J23" s="139"/>
      <c r="K23" s="131">
        <f>+'G-433'!J9</f>
        <v>1629481</v>
      </c>
      <c r="L23" s="131">
        <f t="shared" si="4"/>
        <v>0</v>
      </c>
      <c r="M23" s="131">
        <f t="shared" si="5"/>
        <v>4433478</v>
      </c>
      <c r="N23" s="131">
        <v>0</v>
      </c>
      <c r="O23" s="131">
        <f t="shared" si="6"/>
        <v>0</v>
      </c>
      <c r="P23" s="131">
        <f>+K23+L23-M23-O23</f>
        <v>-2803997</v>
      </c>
      <c r="R23" t="s">
        <v>187</v>
      </c>
      <c r="S23" s="142">
        <f>147800+159840</f>
        <v>307640</v>
      </c>
    </row>
    <row r="24" spans="1:19">
      <c r="A24" s="2" t="s">
        <v>57</v>
      </c>
      <c r="B24" s="130" t="s">
        <v>58</v>
      </c>
      <c r="C24" s="131"/>
      <c r="D24" s="131"/>
      <c r="E24" s="131">
        <f t="shared" si="0"/>
        <v>0</v>
      </c>
      <c r="F24" s="131">
        <f t="shared" si="1"/>
        <v>0</v>
      </c>
      <c r="G24" s="133">
        <f t="shared" si="2"/>
        <v>0</v>
      </c>
      <c r="H24" s="3">
        <f>+'G-446'!I95</f>
        <v>42587278</v>
      </c>
      <c r="I24" s="3">
        <f t="shared" si="3"/>
        <v>-42587278</v>
      </c>
      <c r="J24" s="139"/>
      <c r="K24" s="131">
        <f>+'G-446'!J9</f>
        <v>4176808.5</v>
      </c>
      <c r="L24" s="131">
        <f t="shared" si="4"/>
        <v>0</v>
      </c>
      <c r="M24" s="131">
        <f t="shared" si="5"/>
        <v>42587278</v>
      </c>
      <c r="N24" s="131">
        <f>+'G-446'!I66*2</f>
        <v>0</v>
      </c>
      <c r="O24" s="131">
        <f t="shared" si="6"/>
        <v>0</v>
      </c>
      <c r="P24" s="131">
        <f>+K24+L24-M24-N24-O24</f>
        <v>-38410469.5</v>
      </c>
      <c r="R24">
        <v>70</v>
      </c>
      <c r="S24" s="142">
        <v>180000</v>
      </c>
    </row>
    <row r="25" spans="1:19">
      <c r="A25" s="2" t="s">
        <v>59</v>
      </c>
      <c r="B25" s="130" t="s">
        <v>60</v>
      </c>
      <c r="C25" s="131"/>
      <c r="D25" s="131"/>
      <c r="E25" s="131">
        <f t="shared" si="0"/>
        <v>0</v>
      </c>
      <c r="F25" s="131">
        <f t="shared" si="1"/>
        <v>0</v>
      </c>
      <c r="G25" s="133">
        <f t="shared" si="2"/>
        <v>0</v>
      </c>
      <c r="H25" s="3">
        <f>+'G-469'!I76</f>
        <v>2632283</v>
      </c>
      <c r="I25" s="3">
        <f t="shared" si="3"/>
        <v>-2632283</v>
      </c>
      <c r="J25" s="139"/>
      <c r="K25" s="131">
        <f>+'G-469'!J9</f>
        <v>-71783.099999999627</v>
      </c>
      <c r="L25" s="131">
        <f t="shared" si="4"/>
        <v>0</v>
      </c>
      <c r="M25" s="131">
        <f t="shared" si="5"/>
        <v>2632283</v>
      </c>
      <c r="N25" s="131">
        <v>0</v>
      </c>
      <c r="O25" s="131">
        <f t="shared" si="6"/>
        <v>0</v>
      </c>
      <c r="P25" s="131">
        <f>+K25+L25-M25-O25</f>
        <v>-2704066.0999999996</v>
      </c>
      <c r="S25" s="142"/>
    </row>
    <row r="26" spans="1:19">
      <c r="A26" s="2" t="s">
        <v>61</v>
      </c>
      <c r="B26" s="130" t="s">
        <v>62</v>
      </c>
      <c r="C26" s="131"/>
      <c r="D26" s="131"/>
      <c r="E26" s="131">
        <f t="shared" si="0"/>
        <v>0</v>
      </c>
      <c r="F26" s="131">
        <f t="shared" si="1"/>
        <v>0</v>
      </c>
      <c r="G26" s="133">
        <f t="shared" si="2"/>
        <v>0</v>
      </c>
      <c r="H26" s="3">
        <f>+LICEO!I295</f>
        <v>529641024</v>
      </c>
      <c r="I26" s="3">
        <f t="shared" si="3"/>
        <v>-529641024</v>
      </c>
      <c r="J26" s="139"/>
      <c r="K26" s="131">
        <f>+LICEO!J9</f>
        <v>6773819</v>
      </c>
      <c r="L26" s="131">
        <f t="shared" si="4"/>
        <v>0</v>
      </c>
      <c r="M26" s="131">
        <f t="shared" si="5"/>
        <v>529641024</v>
      </c>
      <c r="N26" s="131">
        <f>+LICEO!I237*2</f>
        <v>0</v>
      </c>
      <c r="O26" s="131">
        <f t="shared" si="6"/>
        <v>0</v>
      </c>
      <c r="P26" s="131">
        <f>+L26-M26-N26-O26</f>
        <v>-529641024</v>
      </c>
      <c r="R26" t="s">
        <v>196</v>
      </c>
      <c r="S26" s="142">
        <f>57120+588158+180000+179640+1094538+608490+897219</f>
        <v>3605165</v>
      </c>
    </row>
    <row r="27" spans="1:19">
      <c r="A27" s="134" t="s">
        <v>9</v>
      </c>
      <c r="B27" s="129"/>
      <c r="C27" s="135">
        <f t="shared" ref="C27:I27" si="7">SUM(C5:C26)</f>
        <v>0</v>
      </c>
      <c r="D27" s="135">
        <f t="shared" si="7"/>
        <v>0</v>
      </c>
      <c r="E27" s="135">
        <f t="shared" si="7"/>
        <v>0</v>
      </c>
      <c r="F27" s="136">
        <f t="shared" si="7"/>
        <v>0</v>
      </c>
      <c r="G27" s="135">
        <f t="shared" si="7"/>
        <v>0</v>
      </c>
      <c r="H27" s="33">
        <f t="shared" si="7"/>
        <v>2129370465</v>
      </c>
      <c r="I27" s="33">
        <f t="shared" si="7"/>
        <v>-2129370465</v>
      </c>
      <c r="J27" s="140"/>
      <c r="K27" s="140"/>
      <c r="S27" s="142"/>
    </row>
  </sheetData>
  <mergeCells count="16">
    <mergeCell ref="K3:K4"/>
    <mergeCell ref="K1:P2"/>
    <mergeCell ref="O3:O4"/>
    <mergeCell ref="M3:M4"/>
    <mergeCell ref="L3:L4"/>
    <mergeCell ref="P3:P4"/>
    <mergeCell ref="N3:N4"/>
    <mergeCell ref="A1:I1"/>
    <mergeCell ref="C3:D3"/>
    <mergeCell ref="A3:A4"/>
    <mergeCell ref="B3:B4"/>
    <mergeCell ref="I3:I4"/>
    <mergeCell ref="H3:H4"/>
    <mergeCell ref="G3:G4"/>
    <mergeCell ref="F3:F4"/>
    <mergeCell ref="E3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4</vt:i4>
      </vt:variant>
    </vt:vector>
  </HeadingPairs>
  <TitlesOfParts>
    <vt:vector size="31" baseType="lpstr">
      <vt:lpstr>F-375</vt:lpstr>
      <vt:lpstr>G-389</vt:lpstr>
      <vt:lpstr>G-394</vt:lpstr>
      <vt:lpstr>E-403</vt:lpstr>
      <vt:lpstr>F-405</vt:lpstr>
      <vt:lpstr>F-407</vt:lpstr>
      <vt:lpstr>G-412</vt:lpstr>
      <vt:lpstr>F-413</vt:lpstr>
      <vt:lpstr>E-414</vt:lpstr>
      <vt:lpstr>G-416</vt:lpstr>
      <vt:lpstr>E-417</vt:lpstr>
      <vt:lpstr>G-418</vt:lpstr>
      <vt:lpstr>G-419</vt:lpstr>
      <vt:lpstr>E-424</vt:lpstr>
      <vt:lpstr>F-425</vt:lpstr>
      <vt:lpstr>F-426</vt:lpstr>
      <vt:lpstr>F-428</vt:lpstr>
      <vt:lpstr>G-429</vt:lpstr>
      <vt:lpstr>G-433</vt:lpstr>
      <vt:lpstr>G-446</vt:lpstr>
      <vt:lpstr>G-469</vt:lpstr>
      <vt:lpstr>LICEO</vt:lpstr>
      <vt:lpstr>AC</vt:lpstr>
      <vt:lpstr>SUBVENCION</vt:lpstr>
      <vt:lpstr>COSTO REMUNERACION </vt:lpstr>
      <vt:lpstr>PROPORCION GASTOS AC</vt:lpstr>
      <vt:lpstr>10% AC SEP</vt:lpstr>
      <vt:lpstr>'E-403'!Área_de_impresión</vt:lpstr>
      <vt:lpstr>'E-414'!Área_de_impresión</vt:lpstr>
      <vt:lpstr>'E-424'!Área_de_impresión</vt:lpstr>
      <vt:lpstr>'F-426'!Área_de_impresión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EQUIPO4</cp:lastModifiedBy>
  <cp:lastPrinted>2026-08-26T18:30:17Z</cp:lastPrinted>
  <dcterms:created xsi:type="dcterms:W3CDTF">2020-01-21T11:32:12Z</dcterms:created>
  <dcterms:modified xsi:type="dcterms:W3CDTF">2026-10-05T12:50:35Z</dcterms:modified>
</cp:coreProperties>
</file>