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ISTEMA\"/>
    </mc:Choice>
  </mc:AlternateContent>
  <xr:revisionPtr revIDLastSave="0" documentId="13_ncr:1_{56FBAC81-11CD-4844-9EDE-781D69444C5B}" xr6:coauthVersionLast="47" xr6:coauthVersionMax="47" xr10:uidLastSave="{00000000-0000-0000-0000-000000000000}"/>
  <bookViews>
    <workbookView xWindow="-120" yWindow="-120" windowWidth="20730" windowHeight="11040" xr2:uid="{2FB51E5E-12A7-4EBA-ACF0-0E52D6D75E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" l="1"/>
  <c r="O12" i="1"/>
  <c r="O9" i="1"/>
  <c r="O10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<sst xmlns="http://schemas.openxmlformats.org/spreadsheetml/2006/main" count="131" uniqueCount="103">
  <si>
    <t>SOL-2026-001</t>
  </si>
  <si>
    <t>SOL-2026-002</t>
  </si>
  <si>
    <t>SOL-2026-003</t>
  </si>
  <si>
    <t>SOL-2026-004</t>
  </si>
  <si>
    <t>SOL-2026-005</t>
  </si>
  <si>
    <t>SOL-2026-006</t>
  </si>
  <si>
    <t>SOL-2026-007</t>
  </si>
  <si>
    <t>SOL-2026-008</t>
  </si>
  <si>
    <t>SOL-2026-009</t>
  </si>
  <si>
    <t>SOL-2026-010</t>
  </si>
  <si>
    <t>2026-09-20</t>
  </si>
  <si>
    <t>Liceo Manuel de Salas</t>
  </si>
  <si>
    <t>Comercializadora San Javier Ltda.</t>
  </si>
  <si>
    <t>76.123.456-7</t>
  </si>
  <si>
    <t>CP-045</t>
  </si>
  <si>
    <t>OC-4521-12-SE26</t>
  </si>
  <si>
    <t>ARC-012</t>
  </si>
  <si>
    <t>F-8845</t>
  </si>
  <si>
    <t>DP-102</t>
  </si>
  <si>
    <t>Pagada</t>
  </si>
  <si>
    <t>2026-09-12</t>
  </si>
  <si>
    <t>Escuela E-259 Jerónimo Bobadilla</t>
  </si>
  <si>
    <t>Distribuidora Maule SpA</t>
  </si>
  <si>
    <t>77.987.654-3</t>
  </si>
  <si>
    <t>CP-052</t>
  </si>
  <si>
    <t>OC-4521-18-SE26</t>
  </si>
  <si>
    <t>ARC-019</t>
  </si>
  <si>
    <t>F-1204</t>
  </si>
  <si>
    <t>PENDIENTE</t>
  </si>
  <si>
    <t>Facturada</t>
  </si>
  <si>
    <t>2026-08-25</t>
  </si>
  <si>
    <t>Escuela Bernardo O'Higgins</t>
  </si>
  <si>
    <t>Librería e Imprenta Centro</t>
  </si>
  <si>
    <t>12.345.678-9</t>
  </si>
  <si>
    <t>CP-038</t>
  </si>
  <si>
    <t>OC-4521-05-SE26</t>
  </si>
  <si>
    <t>En Compra</t>
  </si>
  <si>
    <t>2026-09-28</t>
  </si>
  <si>
    <t>Insumos Computacionales Sur</t>
  </si>
  <si>
    <t>76.543.210-K</t>
  </si>
  <si>
    <t>CP-061</t>
  </si>
  <si>
    <t>OC-4521-25-SE26</t>
  </si>
  <si>
    <t>ARC-025</t>
  </si>
  <si>
    <t>Recepcionada</t>
  </si>
  <si>
    <t>2026-08-10</t>
  </si>
  <si>
    <t>Escuela Justo Pastor Cárdenas</t>
  </si>
  <si>
    <t>Servicios Generales Linares</t>
  </si>
  <si>
    <t>78.111.222-4</t>
  </si>
  <si>
    <t>CP-029</t>
  </si>
  <si>
    <t>OC-4521-02-SE26</t>
  </si>
  <si>
    <t>ARC-008</t>
  </si>
  <si>
    <t>F-4510</t>
  </si>
  <si>
    <t>2026-09-05</t>
  </si>
  <si>
    <t>Escuela José Manuel Balmaceda</t>
  </si>
  <si>
    <t>Aseo y Mantención Talca SpA</t>
  </si>
  <si>
    <t>76.888.999-1</t>
  </si>
  <si>
    <t>CP-049</t>
  </si>
  <si>
    <t>OC-4521-15-SE26</t>
  </si>
  <si>
    <t>ARC-015</t>
  </si>
  <si>
    <t>F-993</t>
  </si>
  <si>
    <t>DP-118</t>
  </si>
  <si>
    <t>2026-09-25</t>
  </si>
  <si>
    <t>Editorial y Didácticos Chile</t>
  </si>
  <si>
    <t>75.444.333-8</t>
  </si>
  <si>
    <t>CP-058</t>
  </si>
  <si>
    <t>Ingresada</t>
  </si>
  <si>
    <t>2026-09-15</t>
  </si>
  <si>
    <t>Escuela Matías Cousiño</t>
  </si>
  <si>
    <t>Ferretería y Materiales San Javier</t>
  </si>
  <si>
    <t>77.222.111-5</t>
  </si>
  <si>
    <t>CP-054</t>
  </si>
  <si>
    <t>OC-4521-20-SE26</t>
  </si>
  <si>
    <t>ARC-022</t>
  </si>
  <si>
    <t>F-3321</t>
  </si>
  <si>
    <t>2026-08-18</t>
  </si>
  <si>
    <t>Equipamiento Escolar Chile</t>
  </si>
  <si>
    <t>76.999.000-2</t>
  </si>
  <si>
    <t>CP-032</t>
  </si>
  <si>
    <t>OC-4521-08-SE26</t>
  </si>
  <si>
    <t>2026-09-02</t>
  </si>
  <si>
    <t>Escuela Julio Montt Salamanca</t>
  </si>
  <si>
    <t>Tecnología Educativa Maule</t>
  </si>
  <si>
    <t>78.333.444-6</t>
  </si>
  <si>
    <t>CP-048</t>
  </si>
  <si>
    <t>OC-4521-14-SE26</t>
  </si>
  <si>
    <t>ARC-014</t>
  </si>
  <si>
    <t>F-554</t>
  </si>
  <si>
    <t>DP-112</t>
  </si>
  <si>
    <t>SI</t>
  </si>
  <si>
    <t>Fecha_Solicitud</t>
  </si>
  <si>
    <t>Cod_Solicitud</t>
  </si>
  <si>
    <t>Escuela</t>
  </si>
  <si>
    <t>Proveedor</t>
  </si>
  <si>
    <t>RUT_Proveedor</t>
  </si>
  <si>
    <t>Monto_Estimado</t>
  </si>
  <si>
    <t>Certificado_Presupuestario</t>
  </si>
  <si>
    <t>Orden_Compra</t>
  </si>
  <si>
    <t>Acta_Recepcion_Conforme</t>
  </si>
  <si>
    <t>Factura_Folio</t>
  </si>
  <si>
    <t>Decreto_Pago</t>
  </si>
  <si>
    <t>Estado</t>
  </si>
  <si>
    <t>Dias_Tramite</t>
  </si>
  <si>
    <t>Alerta_Riesgo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</si>
</sst>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color rgb="FF385723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" fontId="0" fillId="0" borderId="0" xfId="0" applyNumberFormat="1"/>
    <xf numFmtId="41" fontId="0" fillId="0" borderId="0" xfId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1" fontId="3" fillId="0" borderId="0" xfId="1" applyFont="1" applyAlignment="1">
      <alignment horizontal="right" vertical="center"/>
    </xf>
    <xf numFmtId="0" fontId="2" fillId="0" borderId="1" xfId="0" applyFont="1" applyBorder="1"/>
  </cellXfs>
  <cellStyles count="2">
    <cellStyle name="Millares [0]" xfId="1" builtinId="6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7343-A266-4CD2-A761-FDB951710656}">
  <dimension ref="A2:P26"/>
  <sheetViews>
    <sheetView tabSelected="1" topLeftCell="J1" workbookViewId="0">
      <selection activeCell="L10" sqref="L10"/>
    </sheetView>
  </sheetViews>
  <sheetFormatPr baseColWidth="10" defaultRowHeight="15" x14ac:dyDescent="0.25"/>
  <cols>
    <col min="2" max="2" width="13.140625" bestFit="1" customWidth="1"/>
    <col min="3" max="3" width="17.140625" bestFit="1" customWidth="1"/>
    <col min="4" max="4" width="28" bestFit="1" customWidth="1"/>
    <col min="5" max="5" width="27.85546875" bestFit="1" customWidth="1"/>
    <col min="6" max="6" width="14.7109375" bestFit="1" customWidth="1"/>
    <col min="7" max="8" width="29.5703125" bestFit="1" customWidth="1"/>
    <col min="9" max="9" width="15.140625" bestFit="1" customWidth="1"/>
    <col min="10" max="10" width="25.140625" bestFit="1" customWidth="1"/>
    <col min="11" max="11" width="12.85546875" bestFit="1" customWidth="1"/>
    <col min="12" max="12" width="14.85546875" bestFit="1" customWidth="1"/>
    <col min="13" max="14" width="16.28515625" bestFit="1" customWidth="1"/>
    <col min="15" max="15" width="17.42578125" bestFit="1" customWidth="1"/>
  </cols>
  <sheetData>
    <row r="2" spans="1:16" x14ac:dyDescent="0.25">
      <c r="A2" s="1"/>
      <c r="B2" s="2" t="s">
        <v>90</v>
      </c>
      <c r="C2" s="2" t="s">
        <v>89</v>
      </c>
      <c r="D2" s="2" t="s">
        <v>91</v>
      </c>
      <c r="E2" s="9" t="s">
        <v>92</v>
      </c>
      <c r="F2" s="9" t="s">
        <v>93</v>
      </c>
      <c r="G2" s="9" t="s">
        <v>94</v>
      </c>
      <c r="H2" s="9" t="s">
        <v>95</v>
      </c>
      <c r="I2" s="9" t="s">
        <v>96</v>
      </c>
      <c r="J2" s="9" t="s">
        <v>97</v>
      </c>
      <c r="K2" s="9" t="s">
        <v>98</v>
      </c>
      <c r="L2" s="9" t="s">
        <v>99</v>
      </c>
      <c r="M2" s="9" t="s">
        <v>100</v>
      </c>
      <c r="N2" s="9" t="s">
        <v>101</v>
      </c>
      <c r="O2" s="9" t="s">
        <v>102</v>
      </c>
    </row>
    <row r="3" spans="1:16" x14ac:dyDescent="0.25">
      <c r="B3" s="5" t="s">
        <v>0</v>
      </c>
      <c r="C3" s="5" t="s">
        <v>10</v>
      </c>
      <c r="D3" s="6" t="s">
        <v>11</v>
      </c>
      <c r="E3" s="6" t="s">
        <v>12</v>
      </c>
      <c r="F3" s="5" t="s">
        <v>13</v>
      </c>
      <c r="G3" s="8">
        <v>1250000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6" t="s">
        <v>19</v>
      </c>
      <c r="N3" s="5">
        <v>19</v>
      </c>
      <c r="O3" s="7" t="str">
        <f t="shared" ref="O3:O12" si="0">IF(M33="Pagada", "🟢 Normal", IF(N3&lt;=21, "🟢 Normal", IF(N3&lt;=30, "🟡 Riesgo Atendible", "🔴 Alerta Al Atraso")))</f>
        <v>🟢 Normal</v>
      </c>
    </row>
    <row r="4" spans="1:16" x14ac:dyDescent="0.25">
      <c r="B4" s="5" t="s">
        <v>1</v>
      </c>
      <c r="C4" s="5" t="s">
        <v>20</v>
      </c>
      <c r="D4" s="6" t="s">
        <v>21</v>
      </c>
      <c r="E4" s="6" t="s">
        <v>22</v>
      </c>
      <c r="F4" s="5" t="s">
        <v>23</v>
      </c>
      <c r="G4" s="8">
        <v>450000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6" t="s">
        <v>29</v>
      </c>
      <c r="N4" s="5">
        <v>22</v>
      </c>
      <c r="O4" s="7" t="str">
        <f t="shared" si="0"/>
        <v>🟡 Riesgo Atendible</v>
      </c>
      <c r="P4" s="5" t="s">
        <v>88</v>
      </c>
    </row>
    <row r="5" spans="1:16" x14ac:dyDescent="0.25">
      <c r="B5" s="5" t="s">
        <v>2</v>
      </c>
      <c r="C5" s="5" t="s">
        <v>30</v>
      </c>
      <c r="D5" s="6" t="s">
        <v>31</v>
      </c>
      <c r="E5" s="6" t="s">
        <v>32</v>
      </c>
      <c r="F5" s="5" t="s">
        <v>33</v>
      </c>
      <c r="G5" s="8">
        <v>890000</v>
      </c>
      <c r="H5" s="5" t="s">
        <v>34</v>
      </c>
      <c r="I5" s="5" t="s">
        <v>35</v>
      </c>
      <c r="J5" s="5" t="s">
        <v>28</v>
      </c>
      <c r="K5" s="5" t="s">
        <v>28</v>
      </c>
      <c r="L5" s="5" t="s">
        <v>28</v>
      </c>
      <c r="M5" s="6" t="s">
        <v>36</v>
      </c>
      <c r="N5" s="5">
        <v>40</v>
      </c>
      <c r="O5" s="7" t="str">
        <f t="shared" si="0"/>
        <v>🔴 Alerta Al Atraso</v>
      </c>
      <c r="P5" s="5" t="s">
        <v>88</v>
      </c>
    </row>
    <row r="6" spans="1:16" x14ac:dyDescent="0.25">
      <c r="B6" s="5" t="s">
        <v>3</v>
      </c>
      <c r="C6" s="5" t="s">
        <v>37</v>
      </c>
      <c r="D6" s="6" t="s">
        <v>11</v>
      </c>
      <c r="E6" s="6" t="s">
        <v>38</v>
      </c>
      <c r="F6" s="5" t="s">
        <v>39</v>
      </c>
      <c r="G6" s="8">
        <v>320000</v>
      </c>
      <c r="H6" s="5" t="s">
        <v>40</v>
      </c>
      <c r="I6" s="5" t="s">
        <v>41</v>
      </c>
      <c r="J6" s="5" t="s">
        <v>42</v>
      </c>
      <c r="K6" s="5" t="s">
        <v>28</v>
      </c>
      <c r="L6" s="5" t="s">
        <v>28</v>
      </c>
      <c r="M6" s="6" t="s">
        <v>43</v>
      </c>
      <c r="N6" s="5">
        <v>6</v>
      </c>
      <c r="O6" s="7" t="str">
        <f t="shared" si="0"/>
        <v>🟢 Normal</v>
      </c>
      <c r="P6" s="5" t="s">
        <v>88</v>
      </c>
    </row>
    <row r="7" spans="1:16" x14ac:dyDescent="0.25">
      <c r="B7" s="5" t="s">
        <v>4</v>
      </c>
      <c r="C7" s="5" t="s">
        <v>44</v>
      </c>
      <c r="D7" s="6" t="s">
        <v>45</v>
      </c>
      <c r="E7" s="6" t="s">
        <v>46</v>
      </c>
      <c r="F7" s="5" t="s">
        <v>47</v>
      </c>
      <c r="G7" s="8">
        <v>2100000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28</v>
      </c>
      <c r="M7" s="6" t="s">
        <v>29</v>
      </c>
      <c r="N7" s="5">
        <v>55</v>
      </c>
      <c r="O7" s="7" t="str">
        <f t="shared" si="0"/>
        <v>🔴 Alerta Al Atraso</v>
      </c>
      <c r="P7" s="5" t="s">
        <v>88</v>
      </c>
    </row>
    <row r="8" spans="1:16" x14ac:dyDescent="0.25">
      <c r="B8" s="5" t="s">
        <v>5</v>
      </c>
      <c r="C8" s="5" t="s">
        <v>52</v>
      </c>
      <c r="D8" s="6" t="s">
        <v>53</v>
      </c>
      <c r="E8" s="6" t="s">
        <v>54</v>
      </c>
      <c r="F8" s="5" t="s">
        <v>55</v>
      </c>
      <c r="G8" s="8">
        <v>670000</v>
      </c>
      <c r="H8" s="5" t="s">
        <v>56</v>
      </c>
      <c r="I8" s="5" t="s">
        <v>57</v>
      </c>
      <c r="J8" s="5" t="s">
        <v>58</v>
      </c>
      <c r="K8" s="5" t="s">
        <v>59</v>
      </c>
      <c r="L8" s="5" t="s">
        <v>60</v>
      </c>
      <c r="M8" s="6" t="s">
        <v>19</v>
      </c>
      <c r="N8" s="5">
        <v>29</v>
      </c>
      <c r="O8" s="7" t="str">
        <f t="shared" si="0"/>
        <v>🟡 Riesgo Atendible</v>
      </c>
    </row>
    <row r="9" spans="1:16" x14ac:dyDescent="0.25">
      <c r="B9" s="5" t="s">
        <v>6</v>
      </c>
      <c r="C9" s="5" t="s">
        <v>61</v>
      </c>
      <c r="D9" s="6" t="s">
        <v>21</v>
      </c>
      <c r="E9" s="6" t="s">
        <v>62</v>
      </c>
      <c r="F9" s="5" t="s">
        <v>63</v>
      </c>
      <c r="G9" s="8">
        <v>1500000</v>
      </c>
      <c r="H9" s="5" t="s">
        <v>64</v>
      </c>
      <c r="I9" s="5" t="s">
        <v>28</v>
      </c>
      <c r="J9" s="5" t="s">
        <v>28</v>
      </c>
      <c r="K9" s="5" t="s">
        <v>28</v>
      </c>
      <c r="L9" s="5" t="s">
        <v>28</v>
      </c>
      <c r="M9" s="6" t="s">
        <v>65</v>
      </c>
      <c r="N9" s="5">
        <v>9</v>
      </c>
      <c r="O9" s="7" t="str">
        <f t="shared" si="0"/>
        <v>🟢 Normal</v>
      </c>
      <c r="P9" s="5" t="s">
        <v>88</v>
      </c>
    </row>
    <row r="10" spans="1:16" x14ac:dyDescent="0.25">
      <c r="B10" s="5" t="s">
        <v>7</v>
      </c>
      <c r="C10" s="5" t="s">
        <v>66</v>
      </c>
      <c r="D10" s="6" t="s">
        <v>67</v>
      </c>
      <c r="E10" s="6" t="s">
        <v>68</v>
      </c>
      <c r="F10" s="5" t="s">
        <v>69</v>
      </c>
      <c r="G10" s="8">
        <v>980000</v>
      </c>
      <c r="H10" s="5" t="s">
        <v>70</v>
      </c>
      <c r="I10" s="5" t="s">
        <v>71</v>
      </c>
      <c r="J10" s="5" t="s">
        <v>72</v>
      </c>
      <c r="K10" s="5" t="s">
        <v>73</v>
      </c>
      <c r="L10" s="5" t="s">
        <v>28</v>
      </c>
      <c r="M10" s="6" t="s">
        <v>29</v>
      </c>
      <c r="N10" s="5">
        <v>19</v>
      </c>
      <c r="O10" s="7" t="str">
        <f t="shared" si="0"/>
        <v>🟢 Normal</v>
      </c>
      <c r="P10" s="5" t="s">
        <v>88</v>
      </c>
    </row>
    <row r="11" spans="1:16" x14ac:dyDescent="0.25">
      <c r="B11" s="5" t="s">
        <v>8</v>
      </c>
      <c r="C11" s="5" t="s">
        <v>74</v>
      </c>
      <c r="D11" s="6" t="s">
        <v>11</v>
      </c>
      <c r="E11" s="6" t="s">
        <v>75</v>
      </c>
      <c r="F11" s="5" t="s">
        <v>76</v>
      </c>
      <c r="G11" s="8">
        <v>4500000</v>
      </c>
      <c r="H11" s="5" t="s">
        <v>77</v>
      </c>
      <c r="I11" s="5" t="s">
        <v>78</v>
      </c>
      <c r="J11" s="5" t="s">
        <v>28</v>
      </c>
      <c r="K11" s="5" t="s">
        <v>28</v>
      </c>
      <c r="L11" s="5" t="s">
        <v>28</v>
      </c>
      <c r="M11" s="6" t="s">
        <v>36</v>
      </c>
      <c r="N11" s="5">
        <v>47</v>
      </c>
      <c r="O11" s="7" t="str">
        <f t="shared" si="0"/>
        <v>🔴 Alerta Al Atraso</v>
      </c>
      <c r="P11" s="5" t="s">
        <v>88</v>
      </c>
    </row>
    <row r="12" spans="1:16" x14ac:dyDescent="0.25">
      <c r="B12" s="5" t="s">
        <v>9</v>
      </c>
      <c r="C12" s="5" t="s">
        <v>79</v>
      </c>
      <c r="D12" s="6" t="s">
        <v>80</v>
      </c>
      <c r="E12" s="6" t="s">
        <v>81</v>
      </c>
      <c r="F12" s="5" t="s">
        <v>82</v>
      </c>
      <c r="G12" s="8">
        <v>1850000</v>
      </c>
      <c r="H12" s="5" t="s">
        <v>83</v>
      </c>
      <c r="I12" s="5" t="s">
        <v>84</v>
      </c>
      <c r="J12" s="5" t="s">
        <v>85</v>
      </c>
      <c r="K12" s="5" t="s">
        <v>86</v>
      </c>
      <c r="L12" s="5" t="s">
        <v>87</v>
      </c>
      <c r="M12" s="6" t="s">
        <v>19</v>
      </c>
      <c r="N12" s="5">
        <v>20</v>
      </c>
      <c r="O12" s="7" t="str">
        <f t="shared" si="0"/>
        <v>🟢 Normal</v>
      </c>
    </row>
    <row r="13" spans="1:16" x14ac:dyDescent="0.25">
      <c r="C13" s="3"/>
      <c r="F13" s="4"/>
      <c r="O13" s="7"/>
    </row>
    <row r="14" spans="1:16" x14ac:dyDescent="0.25">
      <c r="C14" s="3"/>
      <c r="F14" s="4"/>
      <c r="O14" s="7"/>
    </row>
    <row r="15" spans="1:16" x14ac:dyDescent="0.25">
      <c r="C15" s="3"/>
      <c r="F15" s="4"/>
      <c r="O15" s="7"/>
    </row>
    <row r="16" spans="1:16" x14ac:dyDescent="0.25">
      <c r="F16" s="4"/>
      <c r="O16" s="7"/>
    </row>
    <row r="17" spans="6:15" x14ac:dyDescent="0.25">
      <c r="F17" s="4"/>
      <c r="O17" s="7"/>
    </row>
    <row r="18" spans="6:15" x14ac:dyDescent="0.25">
      <c r="F18" s="4"/>
      <c r="O18" s="7"/>
    </row>
    <row r="19" spans="6:15" x14ac:dyDescent="0.25">
      <c r="F19" s="4"/>
      <c r="O19" s="7"/>
    </row>
    <row r="20" spans="6:15" x14ac:dyDescent="0.25">
      <c r="F20" s="4"/>
      <c r="O20" s="7"/>
    </row>
    <row r="21" spans="6:15" x14ac:dyDescent="0.25">
      <c r="F21" s="4"/>
      <c r="O21" s="7"/>
    </row>
    <row r="22" spans="6:15" x14ac:dyDescent="0.25">
      <c r="F22" s="4"/>
      <c r="O22" s="7"/>
    </row>
    <row r="23" spans="6:15" x14ac:dyDescent="0.25">
      <c r="F23" s="4"/>
      <c r="O23" s="7"/>
    </row>
    <row r="24" spans="6:15" x14ac:dyDescent="0.25">
      <c r="F24" s="4"/>
      <c r="O24" s="7"/>
    </row>
    <row r="25" spans="6:15" x14ac:dyDescent="0.25">
      <c r="F25" s="4"/>
    </row>
    <row r="26" spans="6:15" x14ac:dyDescent="0.25">
      <c r="F26" s="4"/>
    </row>
  </sheetData>
  <conditionalFormatting sqref="O3:O24">
    <cfRule type="containsText" dxfId="2" priority="3" operator="containsText" text="NORMAL">
      <formula>NOT(ISERROR(SEARCH("NORMAL",O3)))</formula>
    </cfRule>
    <cfRule type="containsText" dxfId="1" priority="2" operator="containsText" text="RIESGO">
      <formula>NOT(ISERROR(SEARCH("RIESGO",O3)))</formula>
    </cfRule>
    <cfRule type="containsText" dxfId="0" priority="1" operator="containsText" text="ALERTA">
      <formula>NOT(ISERROR(SEARCH("ALERTA",O3)))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2026-10-04T20:03:40Z</cp:lastPrinted>
  <dcterms:created xsi:type="dcterms:W3CDTF">2026-10-04T19:13:47Z</dcterms:created>
  <dcterms:modified xsi:type="dcterms:W3CDTF">2026-10-04T21:11:00Z</dcterms:modified>
</cp:coreProperties>
</file>